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PWW\agrika-gis\docs\"/>
    </mc:Choice>
  </mc:AlternateContent>
  <xr:revisionPtr revIDLastSave="0" documentId="13_ncr:1_{768979C8-DC0D-40B2-8288-3135C42F55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Responses" sheetId="1" r:id="rId1"/>
    <sheet name="Item Summary" sheetId="2" r:id="rId2"/>
    <sheet name="Summary (Appendix)" sheetId="3" r:id="rId3"/>
    <sheet name="Reliability" sheetId="4" r:id="rId4"/>
    <sheet name="Key &amp; 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" l="1"/>
  <c r="B17" i="4"/>
  <c r="B16" i="4"/>
  <c r="B15" i="4"/>
  <c r="B14" i="4"/>
  <c r="B13" i="4"/>
  <c r="B12" i="4"/>
  <c r="B11" i="4"/>
  <c r="B10" i="4"/>
  <c r="B9" i="4"/>
  <c r="B8" i="4"/>
  <c r="B7" i="4"/>
  <c r="B6" i="4"/>
  <c r="B20" i="4" s="1"/>
  <c r="B5" i="4"/>
  <c r="B4" i="4"/>
  <c r="C19" i="3"/>
  <c r="D19" i="3" s="1"/>
  <c r="B19" i="3"/>
  <c r="B18" i="3"/>
  <c r="B17" i="3"/>
  <c r="B16" i="3"/>
  <c r="J10" i="3"/>
  <c r="A11" i="3" s="1"/>
  <c r="I10" i="3"/>
  <c r="H10" i="3"/>
  <c r="G10" i="3"/>
  <c r="F10" i="3"/>
  <c r="E10" i="3"/>
  <c r="D10" i="3"/>
  <c r="C10" i="3"/>
  <c r="I9" i="3"/>
  <c r="H9" i="3"/>
  <c r="J9" i="3" s="1"/>
  <c r="G9" i="3"/>
  <c r="F9" i="3"/>
  <c r="E9" i="3"/>
  <c r="D9" i="3"/>
  <c r="C9" i="3"/>
  <c r="J8" i="3"/>
  <c r="I8" i="3"/>
  <c r="H8" i="3"/>
  <c r="G8" i="3"/>
  <c r="F8" i="3"/>
  <c r="E8" i="3"/>
  <c r="D8" i="3"/>
  <c r="C8" i="3"/>
  <c r="I7" i="3"/>
  <c r="H7" i="3"/>
  <c r="J7" i="3" s="1"/>
  <c r="G7" i="3"/>
  <c r="F7" i="3"/>
  <c r="E7" i="3"/>
  <c r="D7" i="3"/>
  <c r="C7" i="3"/>
  <c r="J6" i="3"/>
  <c r="I6" i="3"/>
  <c r="H6" i="3"/>
  <c r="G6" i="3"/>
  <c r="F6" i="3"/>
  <c r="E6" i="3"/>
  <c r="D6" i="3"/>
  <c r="C6" i="3"/>
  <c r="I5" i="3"/>
  <c r="H5" i="3"/>
  <c r="J5" i="3" s="1"/>
  <c r="G5" i="3"/>
  <c r="F5" i="3"/>
  <c r="E5" i="3"/>
  <c r="D5" i="3"/>
  <c r="C5" i="3"/>
  <c r="J4" i="3"/>
  <c r="I4" i="3"/>
  <c r="H4" i="3"/>
  <c r="G4" i="3"/>
  <c r="F4" i="3"/>
  <c r="E4" i="3"/>
  <c r="D4" i="3"/>
  <c r="C4" i="3"/>
  <c r="K17" i="2"/>
  <c r="J17" i="2"/>
  <c r="H17" i="2"/>
  <c r="G17" i="2"/>
  <c r="F17" i="2"/>
  <c r="E17" i="2"/>
  <c r="I17" i="2" s="1"/>
  <c r="D17" i="2"/>
  <c r="K16" i="2"/>
  <c r="J16" i="2"/>
  <c r="H16" i="2"/>
  <c r="G16" i="2"/>
  <c r="F16" i="2"/>
  <c r="E16" i="2"/>
  <c r="I16" i="2" s="1"/>
  <c r="D16" i="2"/>
  <c r="K15" i="2"/>
  <c r="J15" i="2"/>
  <c r="H15" i="2"/>
  <c r="G15" i="2"/>
  <c r="F15" i="2"/>
  <c r="E15" i="2"/>
  <c r="I15" i="2" s="1"/>
  <c r="D15" i="2"/>
  <c r="K14" i="2"/>
  <c r="J14" i="2"/>
  <c r="H14" i="2"/>
  <c r="G14" i="2"/>
  <c r="F14" i="2"/>
  <c r="E14" i="2"/>
  <c r="I14" i="2" s="1"/>
  <c r="D14" i="2"/>
  <c r="K13" i="2"/>
  <c r="J13" i="2"/>
  <c r="H13" i="2"/>
  <c r="G13" i="2"/>
  <c r="F13" i="2"/>
  <c r="E13" i="2"/>
  <c r="I13" i="2" s="1"/>
  <c r="D13" i="2"/>
  <c r="K12" i="2"/>
  <c r="J12" i="2"/>
  <c r="H12" i="2"/>
  <c r="G12" i="2"/>
  <c r="F12" i="2"/>
  <c r="E12" i="2"/>
  <c r="I12" i="2" s="1"/>
  <c r="D12" i="2"/>
  <c r="K11" i="2"/>
  <c r="J11" i="2"/>
  <c r="H11" i="2"/>
  <c r="G11" i="2"/>
  <c r="F11" i="2"/>
  <c r="E11" i="2"/>
  <c r="I11" i="2" s="1"/>
  <c r="D11" i="2"/>
  <c r="K10" i="2"/>
  <c r="J10" i="2"/>
  <c r="H10" i="2"/>
  <c r="G10" i="2"/>
  <c r="F10" i="2"/>
  <c r="E10" i="2"/>
  <c r="I10" i="2" s="1"/>
  <c r="D10" i="2"/>
  <c r="K9" i="2"/>
  <c r="J9" i="2"/>
  <c r="H9" i="2"/>
  <c r="G9" i="2"/>
  <c r="F9" i="2"/>
  <c r="E9" i="2"/>
  <c r="I9" i="2" s="1"/>
  <c r="D9" i="2"/>
  <c r="K8" i="2"/>
  <c r="J8" i="2"/>
  <c r="H8" i="2"/>
  <c r="G8" i="2"/>
  <c r="F8" i="2"/>
  <c r="E8" i="2"/>
  <c r="I8" i="2" s="1"/>
  <c r="D8" i="2"/>
  <c r="K7" i="2"/>
  <c r="J7" i="2"/>
  <c r="H7" i="2"/>
  <c r="G7" i="2"/>
  <c r="F7" i="2"/>
  <c r="E7" i="2"/>
  <c r="I7" i="2" s="1"/>
  <c r="D7" i="2"/>
  <c r="K6" i="2"/>
  <c r="J6" i="2"/>
  <c r="H6" i="2"/>
  <c r="G6" i="2"/>
  <c r="F6" i="2"/>
  <c r="E6" i="2"/>
  <c r="I6" i="2" s="1"/>
  <c r="D6" i="2"/>
  <c r="K5" i="2"/>
  <c r="J5" i="2"/>
  <c r="H5" i="2"/>
  <c r="G5" i="2"/>
  <c r="F5" i="2"/>
  <c r="E5" i="2"/>
  <c r="I5" i="2" s="1"/>
  <c r="D5" i="2"/>
  <c r="K4" i="2"/>
  <c r="J4" i="2"/>
  <c r="H4" i="2"/>
  <c r="G4" i="2"/>
  <c r="F4" i="2"/>
  <c r="E4" i="2"/>
  <c r="I4" i="2" s="1"/>
  <c r="D4" i="2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C18" i="3" s="1"/>
  <c r="D18" i="3" s="1"/>
  <c r="Q8" i="1"/>
  <c r="Q7" i="1"/>
  <c r="Q6" i="1"/>
  <c r="Q5" i="1"/>
  <c r="C17" i="3" s="1"/>
  <c r="D17" i="3" s="1"/>
  <c r="Q4" i="1"/>
  <c r="B21" i="4" l="1"/>
  <c r="B22" i="4" s="1"/>
  <c r="C16" i="3"/>
  <c r="D16" i="3" s="1"/>
</calcChain>
</file>

<file path=xl/sharedStrings.xml><?xml version="1.0" encoding="utf-8"?>
<sst xmlns="http://schemas.openxmlformats.org/spreadsheetml/2006/main" count="185" uniqueCount="112">
  <si>
    <t>AgriKA-GIS — UAT Raw Responses</t>
  </si>
  <si>
    <t>Scale: 4 = Strongly Agree · 3 = Agree · 2 = Disagree · 1 = Strongly Disagree.   Enter one row per respondent (blue cells). Add Cabuyao rows below R08 — all summaries update automatically.</t>
  </si>
  <si>
    <t>Respondent</t>
  </si>
  <si>
    <t>Office / City</t>
  </si>
  <si>
    <t>FS1</t>
  </si>
  <si>
    <t>FS2</t>
  </si>
  <si>
    <t>FS3</t>
  </si>
  <si>
    <t>PE1</t>
  </si>
  <si>
    <t>PE2</t>
  </si>
  <si>
    <t>US1</t>
  </si>
  <si>
    <t>US2</t>
  </si>
  <si>
    <t>US3</t>
  </si>
  <si>
    <t>RE1</t>
  </si>
  <si>
    <t>RE2</t>
  </si>
  <si>
    <t>SE1</t>
  </si>
  <si>
    <t>SE2</t>
  </si>
  <si>
    <t>MA1</t>
  </si>
  <si>
    <t>MA2</t>
  </si>
  <si>
    <t>Row Total</t>
  </si>
  <si>
    <t>R01</t>
  </si>
  <si>
    <t>Biñan</t>
  </si>
  <si>
    <t>R02</t>
  </si>
  <si>
    <t>Santa Rosa</t>
  </si>
  <si>
    <t>R03</t>
  </si>
  <si>
    <t>R04</t>
  </si>
  <si>
    <t>R05</t>
  </si>
  <si>
    <t>R06</t>
  </si>
  <si>
    <t>Calamba</t>
  </si>
  <si>
    <t>R07</t>
  </si>
  <si>
    <t>R08</t>
  </si>
  <si>
    <t>Per-Item Summary (frequency, percentage, weighted mean, SD)</t>
  </si>
  <si>
    <t>Code</t>
  </si>
  <si>
    <t>Characteristic</t>
  </si>
  <si>
    <t>Item Statement</t>
  </si>
  <si>
    <t>n</t>
  </si>
  <si>
    <t>SA (4)</t>
  </si>
  <si>
    <t>A (3)</t>
  </si>
  <si>
    <t>D (2)</t>
  </si>
  <si>
    <t>SD (1)</t>
  </si>
  <si>
    <t>% SA</t>
  </si>
  <si>
    <t>Weighted Mean</t>
  </si>
  <si>
    <t>SD</t>
  </si>
  <si>
    <t>Functional Suitability</t>
  </si>
  <si>
    <t>The system correctly displays rice yield data and rankings for the year and season I select.</t>
  </si>
  <si>
    <t>The map accurately shows Laguna municipalities and drills down to the barangays.</t>
  </si>
  <si>
    <t>The system produces the reports and data exports I need for my work.</t>
  </si>
  <si>
    <t>Performance Efficiency</t>
  </si>
  <si>
    <t>Pages and maps load within an acceptable amount of time.</t>
  </si>
  <si>
    <t>The system responds quickly when I change filters or move between modules.</t>
  </si>
  <si>
    <t>Usability</t>
  </si>
  <si>
    <t>The system is easy to navigate and understand.</t>
  </si>
  <si>
    <t>Labels, menus, maps, and legends are clear and readable.</t>
  </si>
  <si>
    <t>I can complete my tasks with little or no assistance.</t>
  </si>
  <si>
    <t>Reliability</t>
  </si>
  <si>
    <t>The system works consistently without crashing or showing errors.</t>
  </si>
  <si>
    <t>My session and data are restored correctly after I refresh or log in again.</t>
  </si>
  <si>
    <t>Security</t>
  </si>
  <si>
    <t>The system requires proper login and limits what I can access based on my role.</t>
  </si>
  <si>
    <t>I am confident that the system keeps its data and user access secure.</t>
  </si>
  <si>
    <t>Maintainability</t>
  </si>
  <si>
    <t>Yield records and data can be updated or imported without difficulty.</t>
  </si>
  <si>
    <t>Keeping the system current with new data seems manageable.</t>
  </si>
  <si>
    <t>Table 28. Summary of UAT Results by Quality Characteristic</t>
  </si>
  <si>
    <t>ISO/IEC 25010 · 4-point scale · respondents under total enumeration. Auto-computed from the Raw Responses sheet.</t>
  </si>
  <si>
    <t>Quality Characteristic</t>
  </si>
  <si>
    <t>No. of Items</t>
  </si>
  <si>
    <t>n (responses)</t>
  </si>
  <si>
    <t>Interpretation</t>
  </si>
  <si>
    <t>Overall</t>
  </si>
  <si>
    <t>Interpretation scale (Table 6): 3.26–4.00 Strongly Agree · 2.51–3.25 Agree · 1.76–2.50 Disagree · 1.00–1.75 Strongly Disagree.</t>
  </si>
  <si>
    <t>Overall Weighted Mean by Office</t>
  </si>
  <si>
    <t>Respondents</t>
  </si>
  <si>
    <t>Cabuyao</t>
  </si>
  <si>
    <t>Cronbach's Alpha (internal consistency)</t>
  </si>
  <si>
    <t>Item</t>
  </si>
  <si>
    <t>Variance</t>
  </si>
  <si>
    <t>k (number of items)</t>
  </si>
  <si>
    <t>Sum of item variances</t>
  </si>
  <si>
    <t>Variance of total scores</t>
  </si>
  <si>
    <t>Cronbach's α</t>
  </si>
  <si>
    <t>Note: α ≥ 0.70 is acceptable (Taber, 2018); the previous AgriKA study reported 0.8442. With the current near-unanimous “Strongly Agree” responses there is almost no variance, so α is not yet meaningful (it can even be negative). It becomes interpretable once more varied responses (e.g., Cabuyao) are added.</t>
  </si>
  <si>
    <t>Legend &amp; Data-Entry Guide</t>
  </si>
  <si>
    <t>Topic</t>
  </si>
  <si>
    <t>Detail</t>
  </si>
  <si>
    <t>Scale</t>
  </si>
  <si>
    <t>4 = Strongly Agree, 3 = Agree, 2 = Disagree, 1 = Strongly Disagree</t>
  </si>
  <si>
    <t>Where to type</t>
  </si>
  <si>
    <t>Raw Responses sheet, blue cells only. One row = one respondent.</t>
  </si>
  <si>
    <t>Adding Cabuyao</t>
  </si>
  <si>
    <t>Type new rows below R08 (rows are pre-formatted to row 61). Put 'Cabuyao' in the Office column.</t>
  </si>
  <si>
    <t>Auto-calculation</t>
  </si>
  <si>
    <t>Item Summary, Summary (Appendix), and Reliability recalculate automatically.</t>
  </si>
  <si>
    <t>Current data</t>
  </si>
  <si>
    <t>8 respondents: Biñan 1, Santa Rosa 4, Calamba 3. Five all-Strongly-Agree; three Calamba papers each have one 'Agree' (FS1 x2, MA2 x1).</t>
  </si>
  <si>
    <t>Assumption to verify</t>
  </si>
  <si>
    <t>The three 'Agree' marks were placed on the three Calamba respondents. Move them if your actual questionnaires differ — aggregate results are unaffected by which respondent, only per-office is.</t>
  </si>
  <si>
    <t>Item codes</t>
  </si>
  <si>
    <t>Statement</t>
  </si>
  <si>
    <t>FS1 – Functional Suitability</t>
  </si>
  <si>
    <t>FS2 – Functional Suitability</t>
  </si>
  <si>
    <t>FS3 – Functional Suitability</t>
  </si>
  <si>
    <t>PE1 – Performance Efficiency</t>
  </si>
  <si>
    <t>PE2 – Performance Efficiency</t>
  </si>
  <si>
    <t>US1 – Usability</t>
  </si>
  <si>
    <t>US2 – Usability</t>
  </si>
  <si>
    <t>US3 – Usability</t>
  </si>
  <si>
    <t>RE1 – Reliability</t>
  </si>
  <si>
    <t>RE2 – Reliability</t>
  </si>
  <si>
    <t>SE1 – Security</t>
  </si>
  <si>
    <t>SE2 – Security</t>
  </si>
  <si>
    <t>MA1 – Maintainability</t>
  </si>
  <si>
    <t>MA2 – Maintainability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</si>
</sst>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66" formatCode="0.000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b/>
      <sz val="13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2F7D3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1" fontId="4" fillId="0" borderId="1" xfId="0" applyNumberFormat="1" applyFont="1" applyBorder="1"/>
    <xf numFmtId="165" fontId="4" fillId="0" borderId="1" xfId="0" applyNumberFormat="1" applyFont="1" applyBorder="1"/>
    <xf numFmtId="0" fontId="6" fillId="0" borderId="1" xfId="0" applyFont="1" applyBorder="1"/>
    <xf numFmtId="166" fontId="6" fillId="3" borderId="1" xfId="0" applyNumberFormat="1" applyFont="1" applyFill="1" applyBorder="1"/>
    <xf numFmtId="0" fontId="3" fillId="2" borderId="1" xfId="0" applyFont="1" applyFill="1" applyBorder="1"/>
    <xf numFmtId="0" fontId="6" fillId="0" borderId="1" xfId="0" applyFont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6" fillId="0" borderId="0" xfId="0" applyFont="1"/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P15" sqref="P15"/>
    </sheetView>
  </sheetViews>
  <sheetFormatPr defaultRowHeight="15" x14ac:dyDescent="0.25"/>
  <cols>
    <col min="1" max="1" width="11" customWidth="1"/>
    <col min="2" max="2" width="14" customWidth="1"/>
    <col min="3" max="16" width="6" customWidth="1"/>
    <col min="17" max="17" width="9" customWidth="1"/>
  </cols>
  <sheetData>
    <row r="1" spans="1:17" ht="18" x14ac:dyDescent="0.25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25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25.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 spans="1:17" x14ac:dyDescent="0.25">
      <c r="A4" s="2" t="s">
        <v>19</v>
      </c>
      <c r="B4" s="3" t="s">
        <v>20</v>
      </c>
      <c r="C4" s="4">
        <v>4</v>
      </c>
      <c r="D4" s="4">
        <v>4</v>
      </c>
      <c r="E4" s="4">
        <v>4</v>
      </c>
      <c r="F4" s="4">
        <v>4</v>
      </c>
      <c r="G4" s="4">
        <v>4</v>
      </c>
      <c r="H4" s="4">
        <v>4</v>
      </c>
      <c r="I4" s="4">
        <v>4</v>
      </c>
      <c r="J4" s="4">
        <v>4</v>
      </c>
      <c r="K4" s="4">
        <v>4</v>
      </c>
      <c r="L4" s="4">
        <v>4</v>
      </c>
      <c r="M4" s="4">
        <v>4</v>
      </c>
      <c r="N4" s="4">
        <v>4</v>
      </c>
      <c r="O4" s="4">
        <v>4</v>
      </c>
      <c r="P4" s="4">
        <v>4</v>
      </c>
      <c r="Q4" s="2">
        <f t="shared" ref="Q4:Q35" si="0">IF(COUNT(C4:P4)=14,SUM(C4:P4),"")</f>
        <v>56</v>
      </c>
    </row>
    <row r="5" spans="1:17" x14ac:dyDescent="0.25">
      <c r="A5" s="2" t="s">
        <v>21</v>
      </c>
      <c r="B5" s="3" t="s">
        <v>22</v>
      </c>
      <c r="C5" s="4">
        <v>4</v>
      </c>
      <c r="D5" s="4">
        <v>4</v>
      </c>
      <c r="E5" s="4">
        <v>4</v>
      </c>
      <c r="F5" s="4">
        <v>4</v>
      </c>
      <c r="G5" s="4">
        <v>4</v>
      </c>
      <c r="H5" s="4">
        <v>4</v>
      </c>
      <c r="I5" s="4">
        <v>4</v>
      </c>
      <c r="J5" s="4">
        <v>4</v>
      </c>
      <c r="K5" s="4">
        <v>4</v>
      </c>
      <c r="L5" s="4">
        <v>4</v>
      </c>
      <c r="M5" s="4">
        <v>4</v>
      </c>
      <c r="N5" s="4">
        <v>4</v>
      </c>
      <c r="O5" s="4">
        <v>4</v>
      </c>
      <c r="P5" s="4">
        <v>4</v>
      </c>
      <c r="Q5" s="2">
        <f t="shared" si="0"/>
        <v>56</v>
      </c>
    </row>
    <row r="6" spans="1:17" x14ac:dyDescent="0.25">
      <c r="A6" s="2" t="s">
        <v>23</v>
      </c>
      <c r="B6" s="3" t="s">
        <v>22</v>
      </c>
      <c r="C6" s="4">
        <v>4</v>
      </c>
      <c r="D6" s="4">
        <v>4</v>
      </c>
      <c r="E6" s="4">
        <v>4</v>
      </c>
      <c r="F6" s="4">
        <v>4</v>
      </c>
      <c r="G6" s="4">
        <v>4</v>
      </c>
      <c r="H6" s="4">
        <v>4</v>
      </c>
      <c r="I6" s="4">
        <v>4</v>
      </c>
      <c r="J6" s="4">
        <v>4</v>
      </c>
      <c r="K6" s="4">
        <v>4</v>
      </c>
      <c r="L6" s="4">
        <v>4</v>
      </c>
      <c r="M6" s="4">
        <v>4</v>
      </c>
      <c r="N6" s="4">
        <v>4</v>
      </c>
      <c r="O6" s="4">
        <v>4</v>
      </c>
      <c r="P6" s="4">
        <v>4</v>
      </c>
      <c r="Q6" s="2">
        <f t="shared" si="0"/>
        <v>56</v>
      </c>
    </row>
    <row r="7" spans="1:17" x14ac:dyDescent="0.25">
      <c r="A7" s="2" t="s">
        <v>24</v>
      </c>
      <c r="B7" s="3" t="s">
        <v>22</v>
      </c>
      <c r="C7" s="4">
        <v>4</v>
      </c>
      <c r="D7" s="4">
        <v>4</v>
      </c>
      <c r="E7" s="4">
        <v>4</v>
      </c>
      <c r="F7" s="4">
        <v>4</v>
      </c>
      <c r="G7" s="4">
        <v>4</v>
      </c>
      <c r="H7" s="4">
        <v>4</v>
      </c>
      <c r="I7" s="4">
        <v>4</v>
      </c>
      <c r="J7" s="4">
        <v>4</v>
      </c>
      <c r="K7" s="4">
        <v>4</v>
      </c>
      <c r="L7" s="4">
        <v>4</v>
      </c>
      <c r="M7" s="4">
        <v>4</v>
      </c>
      <c r="N7" s="4">
        <v>4</v>
      </c>
      <c r="O7" s="4">
        <v>4</v>
      </c>
      <c r="P7" s="4">
        <v>4</v>
      </c>
      <c r="Q7" s="2">
        <f t="shared" si="0"/>
        <v>56</v>
      </c>
    </row>
    <row r="8" spans="1:17" x14ac:dyDescent="0.25">
      <c r="A8" s="2" t="s">
        <v>25</v>
      </c>
      <c r="B8" s="3" t="s">
        <v>22</v>
      </c>
      <c r="C8" s="4">
        <v>4</v>
      </c>
      <c r="D8" s="4">
        <v>4</v>
      </c>
      <c r="E8" s="4">
        <v>4</v>
      </c>
      <c r="F8" s="4">
        <v>4</v>
      </c>
      <c r="G8" s="4">
        <v>4</v>
      </c>
      <c r="H8" s="4">
        <v>4</v>
      </c>
      <c r="I8" s="4">
        <v>4</v>
      </c>
      <c r="J8" s="4">
        <v>4</v>
      </c>
      <c r="K8" s="4">
        <v>4</v>
      </c>
      <c r="L8" s="4">
        <v>4</v>
      </c>
      <c r="M8" s="4">
        <v>4</v>
      </c>
      <c r="N8" s="4">
        <v>4</v>
      </c>
      <c r="O8" s="4">
        <v>4</v>
      </c>
      <c r="P8" s="4">
        <v>4</v>
      </c>
      <c r="Q8" s="2">
        <f t="shared" si="0"/>
        <v>56</v>
      </c>
    </row>
    <row r="9" spans="1:17" x14ac:dyDescent="0.25">
      <c r="A9" s="2" t="s">
        <v>26</v>
      </c>
      <c r="B9" s="3" t="s">
        <v>27</v>
      </c>
      <c r="C9" s="4">
        <v>3</v>
      </c>
      <c r="D9" s="4">
        <v>4</v>
      </c>
      <c r="E9" s="4">
        <v>4</v>
      </c>
      <c r="F9" s="4">
        <v>4</v>
      </c>
      <c r="G9" s="4">
        <v>4</v>
      </c>
      <c r="H9" s="4">
        <v>4</v>
      </c>
      <c r="I9" s="4">
        <v>4</v>
      </c>
      <c r="J9" s="4">
        <v>4</v>
      </c>
      <c r="K9" s="4">
        <v>4</v>
      </c>
      <c r="L9" s="4">
        <v>4</v>
      </c>
      <c r="M9" s="4">
        <v>4</v>
      </c>
      <c r="N9" s="4">
        <v>4</v>
      </c>
      <c r="O9" s="4">
        <v>4</v>
      </c>
      <c r="P9" s="4">
        <v>4</v>
      </c>
      <c r="Q9" s="2">
        <f t="shared" si="0"/>
        <v>55</v>
      </c>
    </row>
    <row r="10" spans="1:17" x14ac:dyDescent="0.25">
      <c r="A10" s="2" t="s">
        <v>28</v>
      </c>
      <c r="B10" s="3" t="s">
        <v>27</v>
      </c>
      <c r="C10" s="4">
        <v>3</v>
      </c>
      <c r="D10" s="4">
        <v>4</v>
      </c>
      <c r="E10" s="4">
        <v>4</v>
      </c>
      <c r="F10" s="4">
        <v>4</v>
      </c>
      <c r="G10" s="4">
        <v>4</v>
      </c>
      <c r="H10" s="4">
        <v>4</v>
      </c>
      <c r="I10" s="4">
        <v>4</v>
      </c>
      <c r="J10" s="4">
        <v>4</v>
      </c>
      <c r="K10" s="4">
        <v>4</v>
      </c>
      <c r="L10" s="4">
        <v>4</v>
      </c>
      <c r="M10" s="4">
        <v>4</v>
      </c>
      <c r="N10" s="4">
        <v>4</v>
      </c>
      <c r="O10" s="4">
        <v>4</v>
      </c>
      <c r="P10" s="4">
        <v>4</v>
      </c>
      <c r="Q10" s="2">
        <f t="shared" si="0"/>
        <v>55</v>
      </c>
    </row>
    <row r="11" spans="1:17" x14ac:dyDescent="0.25">
      <c r="A11" s="2" t="s">
        <v>29</v>
      </c>
      <c r="B11" s="3" t="s">
        <v>27</v>
      </c>
      <c r="C11" s="4">
        <v>4</v>
      </c>
      <c r="D11" s="4">
        <v>4</v>
      </c>
      <c r="E11" s="4">
        <v>4</v>
      </c>
      <c r="F11" s="4">
        <v>4</v>
      </c>
      <c r="G11" s="4">
        <v>4</v>
      </c>
      <c r="H11" s="4">
        <v>4</v>
      </c>
      <c r="I11" s="4">
        <v>4</v>
      </c>
      <c r="J11" s="4">
        <v>4</v>
      </c>
      <c r="K11" s="4">
        <v>4</v>
      </c>
      <c r="L11" s="4">
        <v>4</v>
      </c>
      <c r="M11" s="4">
        <v>4</v>
      </c>
      <c r="N11" s="4">
        <v>4</v>
      </c>
      <c r="O11" s="4">
        <v>4</v>
      </c>
      <c r="P11" s="4">
        <v>3</v>
      </c>
      <c r="Q11" s="2">
        <f t="shared" si="0"/>
        <v>55</v>
      </c>
    </row>
    <row r="12" spans="1:17" x14ac:dyDescent="0.25">
      <c r="A12" s="5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2" t="str">
        <f t="shared" si="0"/>
        <v/>
      </c>
    </row>
    <row r="13" spans="1:17" x14ac:dyDescent="0.25">
      <c r="A13" s="5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2" t="str">
        <f t="shared" si="0"/>
        <v/>
      </c>
    </row>
    <row r="14" spans="1:17" x14ac:dyDescent="0.25">
      <c r="A14" s="5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2" t="str">
        <f t="shared" si="0"/>
        <v/>
      </c>
    </row>
    <row r="15" spans="1:17" x14ac:dyDescent="0.25">
      <c r="A15" s="5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2" t="str">
        <f t="shared" si="0"/>
        <v/>
      </c>
    </row>
    <row r="16" spans="1:17" x14ac:dyDescent="0.25">
      <c r="A16" s="5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2" t="str">
        <f t="shared" si="0"/>
        <v/>
      </c>
    </row>
    <row r="17" spans="1:17" x14ac:dyDescent="0.25">
      <c r="A17" s="5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2" t="str">
        <f t="shared" si="0"/>
        <v/>
      </c>
    </row>
    <row r="18" spans="1:17" x14ac:dyDescent="0.25">
      <c r="A18" s="5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2" t="str">
        <f t="shared" si="0"/>
        <v/>
      </c>
    </row>
    <row r="19" spans="1:17" x14ac:dyDescent="0.25">
      <c r="A19" s="5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2" t="str">
        <f t="shared" si="0"/>
        <v/>
      </c>
    </row>
    <row r="20" spans="1:17" x14ac:dyDescent="0.25">
      <c r="A20" s="5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2" t="str">
        <f t="shared" si="0"/>
        <v/>
      </c>
    </row>
    <row r="21" spans="1:17" x14ac:dyDescent="0.25">
      <c r="A21" s="5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" t="str">
        <f t="shared" si="0"/>
        <v/>
      </c>
    </row>
    <row r="22" spans="1:17" x14ac:dyDescent="0.25">
      <c r="A22" s="5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2" t="str">
        <f t="shared" si="0"/>
        <v/>
      </c>
    </row>
    <row r="23" spans="1:17" x14ac:dyDescent="0.25">
      <c r="A23" s="5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2" t="str">
        <f t="shared" si="0"/>
        <v/>
      </c>
    </row>
    <row r="24" spans="1:17" x14ac:dyDescent="0.25">
      <c r="A24" s="5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2" t="str">
        <f t="shared" si="0"/>
        <v/>
      </c>
    </row>
    <row r="25" spans="1:17" x14ac:dyDescent="0.25">
      <c r="A25" s="5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2" t="str">
        <f t="shared" si="0"/>
        <v/>
      </c>
    </row>
    <row r="26" spans="1:17" x14ac:dyDescent="0.25">
      <c r="A26" s="5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2" t="str">
        <f t="shared" si="0"/>
        <v/>
      </c>
    </row>
    <row r="27" spans="1:17" x14ac:dyDescent="0.25">
      <c r="A27" s="5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2" t="str">
        <f t="shared" si="0"/>
        <v/>
      </c>
    </row>
    <row r="28" spans="1:17" x14ac:dyDescent="0.25">
      <c r="A28" s="5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2" t="str">
        <f t="shared" si="0"/>
        <v/>
      </c>
    </row>
    <row r="29" spans="1:17" x14ac:dyDescent="0.25">
      <c r="A29" s="5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2" t="str">
        <f t="shared" si="0"/>
        <v/>
      </c>
    </row>
    <row r="30" spans="1:17" x14ac:dyDescent="0.25">
      <c r="A30" s="5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2" t="str">
        <f t="shared" si="0"/>
        <v/>
      </c>
    </row>
    <row r="31" spans="1:17" x14ac:dyDescent="0.25">
      <c r="A31" s="5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2" t="str">
        <f t="shared" si="0"/>
        <v/>
      </c>
    </row>
    <row r="32" spans="1:17" x14ac:dyDescent="0.25">
      <c r="A32" s="5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2" t="str">
        <f t="shared" si="0"/>
        <v/>
      </c>
    </row>
    <row r="33" spans="1:17" x14ac:dyDescent="0.25">
      <c r="A33" s="5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2" t="str">
        <f t="shared" si="0"/>
        <v/>
      </c>
    </row>
    <row r="34" spans="1:17" x14ac:dyDescent="0.25">
      <c r="A34" s="5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2" t="str">
        <f t="shared" si="0"/>
        <v/>
      </c>
    </row>
    <row r="35" spans="1:17" x14ac:dyDescent="0.25">
      <c r="A35" s="5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2" t="str">
        <f t="shared" si="0"/>
        <v/>
      </c>
    </row>
    <row r="36" spans="1:17" x14ac:dyDescent="0.25">
      <c r="A36" s="5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2" t="str">
        <f t="shared" ref="Q36:Q67" si="1">IF(COUNT(C36:P36)=14,SUM(C36:P36),"")</f>
        <v/>
      </c>
    </row>
    <row r="37" spans="1:17" x14ac:dyDescent="0.25">
      <c r="A37" s="5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2" t="str">
        <f t="shared" si="1"/>
        <v/>
      </c>
    </row>
    <row r="38" spans="1:17" x14ac:dyDescent="0.25">
      <c r="A38" s="5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2" t="str">
        <f t="shared" si="1"/>
        <v/>
      </c>
    </row>
    <row r="39" spans="1:17" x14ac:dyDescent="0.25">
      <c r="A39" s="5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2" t="str">
        <f t="shared" si="1"/>
        <v/>
      </c>
    </row>
    <row r="40" spans="1:17" x14ac:dyDescent="0.25">
      <c r="A40" s="5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2" t="str">
        <f t="shared" si="1"/>
        <v/>
      </c>
    </row>
    <row r="41" spans="1:17" x14ac:dyDescent="0.25">
      <c r="A41" s="5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2" t="str">
        <f t="shared" si="1"/>
        <v/>
      </c>
    </row>
    <row r="42" spans="1:17" x14ac:dyDescent="0.25">
      <c r="A42" s="5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2" t="str">
        <f t="shared" si="1"/>
        <v/>
      </c>
    </row>
    <row r="43" spans="1:17" x14ac:dyDescent="0.25">
      <c r="A43" s="5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2" t="str">
        <f t="shared" si="1"/>
        <v/>
      </c>
    </row>
    <row r="44" spans="1:17" x14ac:dyDescent="0.25">
      <c r="A44" s="5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2" t="str">
        <f t="shared" si="1"/>
        <v/>
      </c>
    </row>
    <row r="45" spans="1:17" x14ac:dyDescent="0.25">
      <c r="A45" s="5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2" t="str">
        <f t="shared" si="1"/>
        <v/>
      </c>
    </row>
    <row r="46" spans="1:17" x14ac:dyDescent="0.25">
      <c r="A46" s="5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2" t="str">
        <f t="shared" si="1"/>
        <v/>
      </c>
    </row>
    <row r="47" spans="1:17" x14ac:dyDescent="0.25">
      <c r="A47" s="5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2" t="str">
        <f t="shared" si="1"/>
        <v/>
      </c>
    </row>
    <row r="48" spans="1:17" x14ac:dyDescent="0.25">
      <c r="A48" s="5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2" t="str">
        <f t="shared" si="1"/>
        <v/>
      </c>
    </row>
    <row r="49" spans="1:17" x14ac:dyDescent="0.25">
      <c r="A49" s="5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2" t="str">
        <f t="shared" si="1"/>
        <v/>
      </c>
    </row>
    <row r="50" spans="1:17" x14ac:dyDescent="0.25">
      <c r="A50" s="5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2" t="str">
        <f t="shared" si="1"/>
        <v/>
      </c>
    </row>
    <row r="51" spans="1:17" x14ac:dyDescent="0.25">
      <c r="A51" s="5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2" t="str">
        <f t="shared" si="1"/>
        <v/>
      </c>
    </row>
    <row r="52" spans="1:17" x14ac:dyDescent="0.25">
      <c r="A52" s="5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2" t="str">
        <f t="shared" si="1"/>
        <v/>
      </c>
    </row>
    <row r="53" spans="1:17" x14ac:dyDescent="0.25">
      <c r="A53" s="5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2" t="str">
        <f t="shared" si="1"/>
        <v/>
      </c>
    </row>
    <row r="54" spans="1:17" x14ac:dyDescent="0.25">
      <c r="A54" s="5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2" t="str">
        <f t="shared" si="1"/>
        <v/>
      </c>
    </row>
    <row r="55" spans="1:17" x14ac:dyDescent="0.25">
      <c r="A55" s="5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2" t="str">
        <f t="shared" si="1"/>
        <v/>
      </c>
    </row>
    <row r="56" spans="1:17" x14ac:dyDescent="0.25">
      <c r="A56" s="5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2" t="str">
        <f t="shared" si="1"/>
        <v/>
      </c>
    </row>
    <row r="57" spans="1:17" x14ac:dyDescent="0.25">
      <c r="A57" s="5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2" t="str">
        <f t="shared" si="1"/>
        <v/>
      </c>
    </row>
    <row r="58" spans="1:17" x14ac:dyDescent="0.25">
      <c r="A58" s="5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2" t="str">
        <f t="shared" si="1"/>
        <v/>
      </c>
    </row>
    <row r="59" spans="1:17" x14ac:dyDescent="0.25">
      <c r="A59" s="5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2" t="str">
        <f t="shared" si="1"/>
        <v/>
      </c>
    </row>
    <row r="60" spans="1:17" x14ac:dyDescent="0.25">
      <c r="A60" s="5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2" t="str">
        <f t="shared" si="1"/>
        <v/>
      </c>
    </row>
    <row r="61" spans="1:17" x14ac:dyDescent="0.25">
      <c r="A61" s="5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2" t="str">
        <f t="shared" si="1"/>
        <v/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>
      <selection activeCell="C23" sqref="C23"/>
    </sheetView>
  </sheetViews>
  <sheetFormatPr defaultRowHeight="15" x14ac:dyDescent="0.25"/>
  <cols>
    <col min="1" max="1" width="7" customWidth="1"/>
    <col min="2" max="2" width="20" customWidth="1"/>
    <col min="3" max="3" width="60" customWidth="1"/>
    <col min="4" max="4" width="5" customWidth="1"/>
    <col min="5" max="8" width="7" customWidth="1"/>
    <col min="9" max="9" width="8" customWidth="1"/>
    <col min="10" max="10" width="13" customWidth="1"/>
    <col min="11" max="11" width="8" customWidth="1"/>
  </cols>
  <sheetData>
    <row r="1" spans="1:11" ht="18" x14ac:dyDescent="0.25">
      <c r="A1" s="25" t="s">
        <v>30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3" spans="1:11" ht="25.5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</row>
    <row r="4" spans="1:11" ht="25.5" x14ac:dyDescent="0.25">
      <c r="A4" s="6" t="s">
        <v>4</v>
      </c>
      <c r="B4" s="7" t="s">
        <v>42</v>
      </c>
      <c r="C4" s="8" t="s">
        <v>43</v>
      </c>
      <c r="D4" s="2">
        <f>COUNT('Raw Responses'!C4:C61)</f>
        <v>8</v>
      </c>
      <c r="E4" s="2">
        <f>COUNTIF('Raw Responses'!C4:C61,4)</f>
        <v>6</v>
      </c>
      <c r="F4" s="2">
        <f>COUNTIF('Raw Responses'!C4:C61,3)</f>
        <v>2</v>
      </c>
      <c r="G4" s="2">
        <f>COUNTIF('Raw Responses'!C4:C61,2)</f>
        <v>0</v>
      </c>
      <c r="H4" s="2">
        <f>COUNTIF('Raw Responses'!C4:C61,1)</f>
        <v>0</v>
      </c>
      <c r="I4" s="9">
        <f t="shared" ref="I4:I17" si="0">IFERROR(E4/D4,"")</f>
        <v>0.75</v>
      </c>
      <c r="J4" s="10">
        <f>IFERROR(AVERAGE('Raw Responses'!C4:C61),"")</f>
        <v>3.75</v>
      </c>
      <c r="K4" s="11">
        <f>IFERROR(STDEV('Raw Responses'!C4:C61),"")</f>
        <v>0.46291004988627571</v>
      </c>
    </row>
    <row r="5" spans="1:11" ht="25.5" x14ac:dyDescent="0.25">
      <c r="A5" s="6" t="s">
        <v>5</v>
      </c>
      <c r="B5" s="7" t="s">
        <v>42</v>
      </c>
      <c r="C5" s="8" t="s">
        <v>44</v>
      </c>
      <c r="D5" s="2">
        <f>COUNT('Raw Responses'!D4:D61)</f>
        <v>8</v>
      </c>
      <c r="E5" s="2">
        <f>COUNTIF('Raw Responses'!D4:D61,4)</f>
        <v>8</v>
      </c>
      <c r="F5" s="2">
        <f>COUNTIF('Raw Responses'!D4:D61,3)</f>
        <v>0</v>
      </c>
      <c r="G5" s="2">
        <f>COUNTIF('Raw Responses'!D4:D61,2)</f>
        <v>0</v>
      </c>
      <c r="H5" s="2">
        <f>COUNTIF('Raw Responses'!D4:D61,1)</f>
        <v>0</v>
      </c>
      <c r="I5" s="9">
        <f t="shared" si="0"/>
        <v>1</v>
      </c>
      <c r="J5" s="10">
        <f>IFERROR(AVERAGE('Raw Responses'!D4:D61),"")</f>
        <v>4</v>
      </c>
      <c r="K5" s="11">
        <f>IFERROR(STDEV('Raw Responses'!D4:D61),"")</f>
        <v>0</v>
      </c>
    </row>
    <row r="6" spans="1:11" ht="25.5" x14ac:dyDescent="0.25">
      <c r="A6" s="6" t="s">
        <v>6</v>
      </c>
      <c r="B6" s="7" t="s">
        <v>42</v>
      </c>
      <c r="C6" s="8" t="s">
        <v>45</v>
      </c>
      <c r="D6" s="2">
        <f>COUNT('Raw Responses'!E4:E61)</f>
        <v>8</v>
      </c>
      <c r="E6" s="2">
        <f>COUNTIF('Raw Responses'!E4:E61,4)</f>
        <v>8</v>
      </c>
      <c r="F6" s="2">
        <f>COUNTIF('Raw Responses'!E4:E61,3)</f>
        <v>0</v>
      </c>
      <c r="G6" s="2">
        <f>COUNTIF('Raw Responses'!E4:E61,2)</f>
        <v>0</v>
      </c>
      <c r="H6" s="2">
        <f>COUNTIF('Raw Responses'!E4:E61,1)</f>
        <v>0</v>
      </c>
      <c r="I6" s="9">
        <f t="shared" si="0"/>
        <v>1</v>
      </c>
      <c r="J6" s="10">
        <f>IFERROR(AVERAGE('Raw Responses'!E4:E61),"")</f>
        <v>4</v>
      </c>
      <c r="K6" s="11">
        <f>IFERROR(STDEV('Raw Responses'!E4:E61),"")</f>
        <v>0</v>
      </c>
    </row>
    <row r="7" spans="1:11" x14ac:dyDescent="0.25">
      <c r="A7" s="6" t="s">
        <v>7</v>
      </c>
      <c r="B7" s="7" t="s">
        <v>46</v>
      </c>
      <c r="C7" s="8" t="s">
        <v>47</v>
      </c>
      <c r="D7" s="2">
        <f>COUNT('Raw Responses'!F4:F61)</f>
        <v>8</v>
      </c>
      <c r="E7" s="2">
        <f>COUNTIF('Raw Responses'!F4:F61,4)</f>
        <v>8</v>
      </c>
      <c r="F7" s="2">
        <f>COUNTIF('Raw Responses'!F4:F61,3)</f>
        <v>0</v>
      </c>
      <c r="G7" s="2">
        <f>COUNTIF('Raw Responses'!F4:F61,2)</f>
        <v>0</v>
      </c>
      <c r="H7" s="2">
        <f>COUNTIF('Raw Responses'!F4:F61,1)</f>
        <v>0</v>
      </c>
      <c r="I7" s="9">
        <f t="shared" si="0"/>
        <v>1</v>
      </c>
      <c r="J7" s="10">
        <f>IFERROR(AVERAGE('Raw Responses'!F4:F61),"")</f>
        <v>4</v>
      </c>
      <c r="K7" s="11">
        <f>IFERROR(STDEV('Raw Responses'!F4:F61),"")</f>
        <v>0</v>
      </c>
    </row>
    <row r="8" spans="1:11" ht="25.5" x14ac:dyDescent="0.25">
      <c r="A8" s="6" t="s">
        <v>8</v>
      </c>
      <c r="B8" s="7" t="s">
        <v>46</v>
      </c>
      <c r="C8" s="8" t="s">
        <v>48</v>
      </c>
      <c r="D8" s="2">
        <f>COUNT('Raw Responses'!G4:G61)</f>
        <v>8</v>
      </c>
      <c r="E8" s="2">
        <f>COUNTIF('Raw Responses'!G4:G61,4)</f>
        <v>8</v>
      </c>
      <c r="F8" s="2">
        <f>COUNTIF('Raw Responses'!G4:G61,3)</f>
        <v>0</v>
      </c>
      <c r="G8" s="2">
        <f>COUNTIF('Raw Responses'!G4:G61,2)</f>
        <v>0</v>
      </c>
      <c r="H8" s="2">
        <f>COUNTIF('Raw Responses'!G4:G61,1)</f>
        <v>0</v>
      </c>
      <c r="I8" s="9">
        <f t="shared" si="0"/>
        <v>1</v>
      </c>
      <c r="J8" s="10">
        <f>IFERROR(AVERAGE('Raw Responses'!G4:G61),"")</f>
        <v>4</v>
      </c>
      <c r="K8" s="11">
        <f>IFERROR(STDEV('Raw Responses'!G4:G61),"")</f>
        <v>0</v>
      </c>
    </row>
    <row r="9" spans="1:11" x14ac:dyDescent="0.25">
      <c r="A9" s="6" t="s">
        <v>9</v>
      </c>
      <c r="B9" s="7" t="s">
        <v>49</v>
      </c>
      <c r="C9" s="8" t="s">
        <v>50</v>
      </c>
      <c r="D9" s="2">
        <f>COUNT('Raw Responses'!H4:H61)</f>
        <v>8</v>
      </c>
      <c r="E9" s="2">
        <f>COUNTIF('Raw Responses'!H4:H61,4)</f>
        <v>8</v>
      </c>
      <c r="F9" s="2">
        <f>COUNTIF('Raw Responses'!H4:H61,3)</f>
        <v>0</v>
      </c>
      <c r="G9" s="2">
        <f>COUNTIF('Raw Responses'!H4:H61,2)</f>
        <v>0</v>
      </c>
      <c r="H9" s="2">
        <f>COUNTIF('Raw Responses'!H4:H61,1)</f>
        <v>0</v>
      </c>
      <c r="I9" s="9">
        <f t="shared" si="0"/>
        <v>1</v>
      </c>
      <c r="J9" s="10">
        <f>IFERROR(AVERAGE('Raw Responses'!H4:H61),"")</f>
        <v>4</v>
      </c>
      <c r="K9" s="11">
        <f>IFERROR(STDEV('Raw Responses'!H4:H61),"")</f>
        <v>0</v>
      </c>
    </row>
    <row r="10" spans="1:11" x14ac:dyDescent="0.25">
      <c r="A10" s="6" t="s">
        <v>10</v>
      </c>
      <c r="B10" s="7" t="s">
        <v>49</v>
      </c>
      <c r="C10" s="8" t="s">
        <v>51</v>
      </c>
      <c r="D10" s="2">
        <f>COUNT('Raw Responses'!I4:I61)</f>
        <v>8</v>
      </c>
      <c r="E10" s="2">
        <f>COUNTIF('Raw Responses'!I4:I61,4)</f>
        <v>8</v>
      </c>
      <c r="F10" s="2">
        <f>COUNTIF('Raw Responses'!I4:I61,3)</f>
        <v>0</v>
      </c>
      <c r="G10" s="2">
        <f>COUNTIF('Raw Responses'!I4:I61,2)</f>
        <v>0</v>
      </c>
      <c r="H10" s="2">
        <f>COUNTIF('Raw Responses'!I4:I61,1)</f>
        <v>0</v>
      </c>
      <c r="I10" s="9">
        <f t="shared" si="0"/>
        <v>1</v>
      </c>
      <c r="J10" s="10">
        <f>IFERROR(AVERAGE('Raw Responses'!I4:I61),"")</f>
        <v>4</v>
      </c>
      <c r="K10" s="11">
        <f>IFERROR(STDEV('Raw Responses'!I4:I61),"")</f>
        <v>0</v>
      </c>
    </row>
    <row r="11" spans="1:11" x14ac:dyDescent="0.25">
      <c r="A11" s="6" t="s">
        <v>11</v>
      </c>
      <c r="B11" s="7" t="s">
        <v>49</v>
      </c>
      <c r="C11" s="8" t="s">
        <v>52</v>
      </c>
      <c r="D11" s="2">
        <f>COUNT('Raw Responses'!J4:J61)</f>
        <v>8</v>
      </c>
      <c r="E11" s="2">
        <f>COUNTIF('Raw Responses'!J4:J61,4)</f>
        <v>8</v>
      </c>
      <c r="F11" s="2">
        <f>COUNTIF('Raw Responses'!J4:J61,3)</f>
        <v>0</v>
      </c>
      <c r="G11" s="2">
        <f>COUNTIF('Raw Responses'!J4:J61,2)</f>
        <v>0</v>
      </c>
      <c r="H11" s="2">
        <f>COUNTIF('Raw Responses'!J4:J61,1)</f>
        <v>0</v>
      </c>
      <c r="I11" s="9">
        <f t="shared" si="0"/>
        <v>1</v>
      </c>
      <c r="J11" s="10">
        <f>IFERROR(AVERAGE('Raw Responses'!J4:J61),"")</f>
        <v>4</v>
      </c>
      <c r="K11" s="11">
        <f>IFERROR(STDEV('Raw Responses'!J4:J61),"")</f>
        <v>0</v>
      </c>
    </row>
    <row r="12" spans="1:11" x14ac:dyDescent="0.25">
      <c r="A12" s="6" t="s">
        <v>12</v>
      </c>
      <c r="B12" s="7" t="s">
        <v>53</v>
      </c>
      <c r="C12" s="8" t="s">
        <v>54</v>
      </c>
      <c r="D12" s="2">
        <f>COUNT('Raw Responses'!K4:K61)</f>
        <v>8</v>
      </c>
      <c r="E12" s="2">
        <f>COUNTIF('Raw Responses'!K4:K61,4)</f>
        <v>8</v>
      </c>
      <c r="F12" s="2">
        <f>COUNTIF('Raw Responses'!K4:K61,3)</f>
        <v>0</v>
      </c>
      <c r="G12" s="2">
        <f>COUNTIF('Raw Responses'!K4:K61,2)</f>
        <v>0</v>
      </c>
      <c r="H12" s="2">
        <f>COUNTIF('Raw Responses'!K4:K61,1)</f>
        <v>0</v>
      </c>
      <c r="I12" s="9">
        <f t="shared" si="0"/>
        <v>1</v>
      </c>
      <c r="J12" s="10">
        <f>IFERROR(AVERAGE('Raw Responses'!K4:K61),"")</f>
        <v>4</v>
      </c>
      <c r="K12" s="11">
        <f>IFERROR(STDEV('Raw Responses'!K4:K61),"")</f>
        <v>0</v>
      </c>
    </row>
    <row r="13" spans="1:11" ht="25.5" x14ac:dyDescent="0.25">
      <c r="A13" s="6" t="s">
        <v>13</v>
      </c>
      <c r="B13" s="7" t="s">
        <v>53</v>
      </c>
      <c r="C13" s="8" t="s">
        <v>55</v>
      </c>
      <c r="D13" s="2">
        <f>COUNT('Raw Responses'!L4:L61)</f>
        <v>8</v>
      </c>
      <c r="E13" s="2">
        <f>COUNTIF('Raw Responses'!L4:L61,4)</f>
        <v>8</v>
      </c>
      <c r="F13" s="2">
        <f>COUNTIF('Raw Responses'!L4:L61,3)</f>
        <v>0</v>
      </c>
      <c r="G13" s="2">
        <f>COUNTIF('Raw Responses'!L4:L61,2)</f>
        <v>0</v>
      </c>
      <c r="H13" s="2">
        <f>COUNTIF('Raw Responses'!L4:L61,1)</f>
        <v>0</v>
      </c>
      <c r="I13" s="9">
        <f t="shared" si="0"/>
        <v>1</v>
      </c>
      <c r="J13" s="10">
        <f>IFERROR(AVERAGE('Raw Responses'!L4:L61),"")</f>
        <v>4</v>
      </c>
      <c r="K13" s="11">
        <f>IFERROR(STDEV('Raw Responses'!L4:L61),"")</f>
        <v>0</v>
      </c>
    </row>
    <row r="14" spans="1:11" ht="25.5" x14ac:dyDescent="0.25">
      <c r="A14" s="6" t="s">
        <v>14</v>
      </c>
      <c r="B14" s="7" t="s">
        <v>56</v>
      </c>
      <c r="C14" s="8" t="s">
        <v>57</v>
      </c>
      <c r="D14" s="2">
        <f>COUNT('Raw Responses'!M4:M61)</f>
        <v>8</v>
      </c>
      <c r="E14" s="2">
        <f>COUNTIF('Raw Responses'!M4:M61,4)</f>
        <v>8</v>
      </c>
      <c r="F14" s="2">
        <f>COUNTIF('Raw Responses'!M4:M61,3)</f>
        <v>0</v>
      </c>
      <c r="G14" s="2">
        <f>COUNTIF('Raw Responses'!M4:M61,2)</f>
        <v>0</v>
      </c>
      <c r="H14" s="2">
        <f>COUNTIF('Raw Responses'!M4:M61,1)</f>
        <v>0</v>
      </c>
      <c r="I14" s="9">
        <f t="shared" si="0"/>
        <v>1</v>
      </c>
      <c r="J14" s="10">
        <f>IFERROR(AVERAGE('Raw Responses'!M4:M61),"")</f>
        <v>4</v>
      </c>
      <c r="K14" s="11">
        <f>IFERROR(STDEV('Raw Responses'!M4:M61),"")</f>
        <v>0</v>
      </c>
    </row>
    <row r="15" spans="1:11" ht="25.5" x14ac:dyDescent="0.25">
      <c r="A15" s="6" t="s">
        <v>15</v>
      </c>
      <c r="B15" s="7" t="s">
        <v>56</v>
      </c>
      <c r="C15" s="8" t="s">
        <v>58</v>
      </c>
      <c r="D15" s="2">
        <f>COUNT('Raw Responses'!N4:N61)</f>
        <v>8</v>
      </c>
      <c r="E15" s="2">
        <f>COUNTIF('Raw Responses'!N4:N61,4)</f>
        <v>8</v>
      </c>
      <c r="F15" s="2">
        <f>COUNTIF('Raw Responses'!N4:N61,3)</f>
        <v>0</v>
      </c>
      <c r="G15" s="2">
        <f>COUNTIF('Raw Responses'!N4:N61,2)</f>
        <v>0</v>
      </c>
      <c r="H15" s="2">
        <f>COUNTIF('Raw Responses'!N4:N61,1)</f>
        <v>0</v>
      </c>
      <c r="I15" s="9">
        <f t="shared" si="0"/>
        <v>1</v>
      </c>
      <c r="J15" s="10">
        <f>IFERROR(AVERAGE('Raw Responses'!N4:N61),"")</f>
        <v>4</v>
      </c>
      <c r="K15" s="11">
        <f>IFERROR(STDEV('Raw Responses'!N4:N61),"")</f>
        <v>0</v>
      </c>
    </row>
    <row r="16" spans="1:11" x14ac:dyDescent="0.25">
      <c r="A16" s="6" t="s">
        <v>16</v>
      </c>
      <c r="B16" s="7" t="s">
        <v>59</v>
      </c>
      <c r="C16" s="8" t="s">
        <v>60</v>
      </c>
      <c r="D16" s="2">
        <f>COUNT('Raw Responses'!O4:O61)</f>
        <v>8</v>
      </c>
      <c r="E16" s="2">
        <f>COUNTIF('Raw Responses'!O4:O61,4)</f>
        <v>8</v>
      </c>
      <c r="F16" s="2">
        <f>COUNTIF('Raw Responses'!O4:O61,3)</f>
        <v>0</v>
      </c>
      <c r="G16" s="2">
        <f>COUNTIF('Raw Responses'!O4:O61,2)</f>
        <v>0</v>
      </c>
      <c r="H16" s="2">
        <f>COUNTIF('Raw Responses'!O4:O61,1)</f>
        <v>0</v>
      </c>
      <c r="I16" s="9">
        <f t="shared" si="0"/>
        <v>1</v>
      </c>
      <c r="J16" s="10">
        <f>IFERROR(AVERAGE('Raw Responses'!O4:O61),"")</f>
        <v>4</v>
      </c>
      <c r="K16" s="11">
        <f>IFERROR(STDEV('Raw Responses'!O4:O61),"")</f>
        <v>0</v>
      </c>
    </row>
    <row r="17" spans="1:11" x14ac:dyDescent="0.25">
      <c r="A17" s="6" t="s">
        <v>17</v>
      </c>
      <c r="B17" s="7" t="s">
        <v>59</v>
      </c>
      <c r="C17" s="8" t="s">
        <v>61</v>
      </c>
      <c r="D17" s="2">
        <f>COUNT('Raw Responses'!P4:P61)</f>
        <v>8</v>
      </c>
      <c r="E17" s="2">
        <f>COUNTIF('Raw Responses'!P4:P61,4)</f>
        <v>7</v>
      </c>
      <c r="F17" s="2">
        <f>COUNTIF('Raw Responses'!P4:P61,3)</f>
        <v>1</v>
      </c>
      <c r="G17" s="2">
        <f>COUNTIF('Raw Responses'!P4:P61,2)</f>
        <v>0</v>
      </c>
      <c r="H17" s="2">
        <f>COUNTIF('Raw Responses'!P4:P61,1)</f>
        <v>0</v>
      </c>
      <c r="I17" s="9">
        <f t="shared" si="0"/>
        <v>0.875</v>
      </c>
      <c r="J17" s="10">
        <f>IFERROR(AVERAGE('Raw Responses'!P4:P61),"")</f>
        <v>3.875</v>
      </c>
      <c r="K17" s="11">
        <f>IFERROR(STDEV('Raw Responses'!P4:P61),"")</f>
        <v>0.35355339059327379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workbookViewId="0">
      <selection activeCell="B25" sqref="B25"/>
    </sheetView>
  </sheetViews>
  <sheetFormatPr defaultRowHeight="15" x14ac:dyDescent="0.25"/>
  <cols>
    <col min="1" max="1" width="26" customWidth="1"/>
    <col min="2" max="2" width="13" customWidth="1"/>
    <col min="3" max="3" width="14" customWidth="1"/>
    <col min="4" max="4" width="12" customWidth="1"/>
    <col min="5" max="7" width="8" customWidth="1"/>
    <col min="8" max="8" width="15" customWidth="1"/>
    <col min="9" max="9" width="8" customWidth="1"/>
    <col min="10" max="10" width="20" customWidth="1"/>
  </cols>
  <sheetData>
    <row r="1" spans="1:10" ht="18" x14ac:dyDescent="0.25">
      <c r="A1" s="25" t="s">
        <v>62</v>
      </c>
      <c r="B1" s="24"/>
      <c r="C1" s="24"/>
      <c r="D1" s="24"/>
      <c r="E1" s="24"/>
      <c r="F1" s="24"/>
      <c r="G1" s="24"/>
      <c r="H1" s="24"/>
      <c r="I1" s="24"/>
    </row>
    <row r="2" spans="1:10" x14ac:dyDescent="0.25">
      <c r="A2" s="23" t="s">
        <v>63</v>
      </c>
      <c r="B2" s="24"/>
      <c r="C2" s="24"/>
      <c r="D2" s="24"/>
      <c r="E2" s="24"/>
      <c r="F2" s="24"/>
      <c r="G2" s="24"/>
      <c r="H2" s="24"/>
      <c r="I2" s="24"/>
    </row>
    <row r="3" spans="1:10" ht="25.5" x14ac:dyDescent="0.25">
      <c r="A3" s="1" t="s">
        <v>64</v>
      </c>
      <c r="B3" s="1" t="s">
        <v>65</v>
      </c>
      <c r="C3" s="1" t="s">
        <v>66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40</v>
      </c>
      <c r="I3" s="1" t="s">
        <v>41</v>
      </c>
      <c r="J3" s="1" t="s">
        <v>67</v>
      </c>
    </row>
    <row r="4" spans="1:10" x14ac:dyDescent="0.25">
      <c r="A4" s="7" t="s">
        <v>42</v>
      </c>
      <c r="B4" s="2">
        <v>3</v>
      </c>
      <c r="C4" s="2">
        <f>COUNT('Raw Responses'!C4:E61)</f>
        <v>24</v>
      </c>
      <c r="D4" s="2">
        <f>COUNTIF('Raw Responses'!C4:E61,4)</f>
        <v>22</v>
      </c>
      <c r="E4" s="2">
        <f>COUNTIF('Raw Responses'!C4:E61,3)</f>
        <v>2</v>
      </c>
      <c r="F4" s="2">
        <f>COUNTIF('Raw Responses'!C4:E61,2)</f>
        <v>0</v>
      </c>
      <c r="G4" s="2">
        <f>COUNTIF('Raw Responses'!C4:E61,1)</f>
        <v>0</v>
      </c>
      <c r="H4" s="10">
        <f>IFERROR(AVERAGE('Raw Responses'!C4:E61),"")</f>
        <v>3.9166666666666665</v>
      </c>
      <c r="I4" s="11">
        <f>IFERROR(STDEV('Raw Responses'!C4:E61),"")</f>
        <v>0.2823298512866399</v>
      </c>
      <c r="J4" s="7" t="str">
        <f t="shared" ref="J4:J10" si="0">IFERROR(IF(H4&gt;=3.26,"Strongly Agree",IF(H4&gt;=2.51,"Agree",IF(H4&gt;=1.76,"Disagree","Strongly Disagree"))),"")</f>
        <v>Strongly Agree</v>
      </c>
    </row>
    <row r="5" spans="1:10" x14ac:dyDescent="0.25">
      <c r="A5" s="7" t="s">
        <v>46</v>
      </c>
      <c r="B5" s="2">
        <v>2</v>
      </c>
      <c r="C5" s="2">
        <f>COUNT('Raw Responses'!F4:G61)</f>
        <v>16</v>
      </c>
      <c r="D5" s="2">
        <f>COUNTIF('Raw Responses'!F4:G61,4)</f>
        <v>16</v>
      </c>
      <c r="E5" s="2">
        <f>COUNTIF('Raw Responses'!F4:G61,3)</f>
        <v>0</v>
      </c>
      <c r="F5" s="2">
        <f>COUNTIF('Raw Responses'!F4:G61,2)</f>
        <v>0</v>
      </c>
      <c r="G5" s="2">
        <f>COUNTIF('Raw Responses'!F4:G61,1)</f>
        <v>0</v>
      </c>
      <c r="H5" s="10">
        <f>IFERROR(AVERAGE('Raw Responses'!F4:G61),"")</f>
        <v>4</v>
      </c>
      <c r="I5" s="11">
        <f>IFERROR(STDEV('Raw Responses'!F4:G61),"")</f>
        <v>0</v>
      </c>
      <c r="J5" s="7" t="str">
        <f t="shared" si="0"/>
        <v>Strongly Agree</v>
      </c>
    </row>
    <row r="6" spans="1:10" x14ac:dyDescent="0.25">
      <c r="A6" s="7" t="s">
        <v>49</v>
      </c>
      <c r="B6" s="2">
        <v>3</v>
      </c>
      <c r="C6" s="2">
        <f>COUNT('Raw Responses'!H4:J61)</f>
        <v>24</v>
      </c>
      <c r="D6" s="2">
        <f>COUNTIF('Raw Responses'!H4:J61,4)</f>
        <v>24</v>
      </c>
      <c r="E6" s="2">
        <f>COUNTIF('Raw Responses'!H4:J61,3)</f>
        <v>0</v>
      </c>
      <c r="F6" s="2">
        <f>COUNTIF('Raw Responses'!H4:J61,2)</f>
        <v>0</v>
      </c>
      <c r="G6" s="2">
        <f>COUNTIF('Raw Responses'!H4:J61,1)</f>
        <v>0</v>
      </c>
      <c r="H6" s="10">
        <f>IFERROR(AVERAGE('Raw Responses'!H4:J61),"")</f>
        <v>4</v>
      </c>
      <c r="I6" s="11">
        <f>IFERROR(STDEV('Raw Responses'!H4:J61),"")</f>
        <v>0</v>
      </c>
      <c r="J6" s="7" t="str">
        <f t="shared" si="0"/>
        <v>Strongly Agree</v>
      </c>
    </row>
    <row r="7" spans="1:10" x14ac:dyDescent="0.25">
      <c r="A7" s="7" t="s">
        <v>53</v>
      </c>
      <c r="B7" s="2">
        <v>2</v>
      </c>
      <c r="C7" s="2">
        <f>COUNT('Raw Responses'!K4:L61)</f>
        <v>16</v>
      </c>
      <c r="D7" s="2">
        <f>COUNTIF('Raw Responses'!K4:L61,4)</f>
        <v>16</v>
      </c>
      <c r="E7" s="2">
        <f>COUNTIF('Raw Responses'!K4:L61,3)</f>
        <v>0</v>
      </c>
      <c r="F7" s="2">
        <f>COUNTIF('Raw Responses'!K4:L61,2)</f>
        <v>0</v>
      </c>
      <c r="G7" s="2">
        <f>COUNTIF('Raw Responses'!K4:L61,1)</f>
        <v>0</v>
      </c>
      <c r="H7" s="10">
        <f>IFERROR(AVERAGE('Raw Responses'!K4:L61),"")</f>
        <v>4</v>
      </c>
      <c r="I7" s="11">
        <f>IFERROR(STDEV('Raw Responses'!K4:L61),"")</f>
        <v>0</v>
      </c>
      <c r="J7" s="7" t="str">
        <f t="shared" si="0"/>
        <v>Strongly Agree</v>
      </c>
    </row>
    <row r="8" spans="1:10" x14ac:dyDescent="0.25">
      <c r="A8" s="7" t="s">
        <v>56</v>
      </c>
      <c r="B8" s="2">
        <v>2</v>
      </c>
      <c r="C8" s="2">
        <f>COUNT('Raw Responses'!M4:N61)</f>
        <v>16</v>
      </c>
      <c r="D8" s="2">
        <f>COUNTIF('Raw Responses'!M4:N61,4)</f>
        <v>16</v>
      </c>
      <c r="E8" s="2">
        <f>COUNTIF('Raw Responses'!M4:N61,3)</f>
        <v>0</v>
      </c>
      <c r="F8" s="2">
        <f>COUNTIF('Raw Responses'!M4:N61,2)</f>
        <v>0</v>
      </c>
      <c r="G8" s="2">
        <f>COUNTIF('Raw Responses'!M4:N61,1)</f>
        <v>0</v>
      </c>
      <c r="H8" s="10">
        <f>IFERROR(AVERAGE('Raw Responses'!M4:N61),"")</f>
        <v>4</v>
      </c>
      <c r="I8" s="11">
        <f>IFERROR(STDEV('Raw Responses'!M4:N61),"")</f>
        <v>0</v>
      </c>
      <c r="J8" s="7" t="str">
        <f t="shared" si="0"/>
        <v>Strongly Agree</v>
      </c>
    </row>
    <row r="9" spans="1:10" x14ac:dyDescent="0.25">
      <c r="A9" s="7" t="s">
        <v>59</v>
      </c>
      <c r="B9" s="2">
        <v>2</v>
      </c>
      <c r="C9" s="2">
        <f>COUNT('Raw Responses'!O4:P61)</f>
        <v>16</v>
      </c>
      <c r="D9" s="2">
        <f>COUNTIF('Raw Responses'!O4:P61,4)</f>
        <v>15</v>
      </c>
      <c r="E9" s="2">
        <f>COUNTIF('Raw Responses'!O4:P61,3)</f>
        <v>1</v>
      </c>
      <c r="F9" s="2">
        <f>COUNTIF('Raw Responses'!O4:P61,2)</f>
        <v>0</v>
      </c>
      <c r="G9" s="2">
        <f>COUNTIF('Raw Responses'!O4:P61,1)</f>
        <v>0</v>
      </c>
      <c r="H9" s="10">
        <f>IFERROR(AVERAGE('Raw Responses'!O4:P61),"")</f>
        <v>3.9375</v>
      </c>
      <c r="I9" s="11">
        <f>IFERROR(STDEV('Raw Responses'!O4:P61),"")</f>
        <v>0.25</v>
      </c>
      <c r="J9" s="7" t="str">
        <f t="shared" si="0"/>
        <v>Strongly Agree</v>
      </c>
    </row>
    <row r="10" spans="1:10" x14ac:dyDescent="0.25">
      <c r="A10" s="12" t="s">
        <v>68</v>
      </c>
      <c r="B10" s="13">
        <v>14</v>
      </c>
      <c r="C10" s="13">
        <f>COUNT('Raw Responses'!C4:P61)</f>
        <v>112</v>
      </c>
      <c r="D10" s="13">
        <f>COUNTIF('Raw Responses'!C4:P61,4)</f>
        <v>109</v>
      </c>
      <c r="E10" s="13">
        <f>COUNTIF('Raw Responses'!C4:P61,3)</f>
        <v>3</v>
      </c>
      <c r="F10" s="13">
        <f>COUNTIF('Raw Responses'!C4:P61,2)</f>
        <v>0</v>
      </c>
      <c r="G10" s="13">
        <f>COUNTIF('Raw Responses'!C4:P61,1)</f>
        <v>0</v>
      </c>
      <c r="H10" s="14">
        <f>IFERROR(AVERAGE('Raw Responses'!C4:P61),"")</f>
        <v>3.9732142857142856</v>
      </c>
      <c r="I10" s="14">
        <f>IFERROR(STDEV('Raw Responses'!C4:P61),"")</f>
        <v>0.16218227031056393</v>
      </c>
      <c r="J10" s="12" t="str">
        <f t="shared" si="0"/>
        <v>Strongly Agree</v>
      </c>
    </row>
    <row r="11" spans="1:10" ht="24" customHeight="1" x14ac:dyDescent="0.25">
      <c r="A11" s="27" t="str">
        <f>IFERROR("FINAL UAT SCORE  →  Overall Weighted Mean "&amp;TEXT(H10,"0.00")&amp;" / 4.00   ("&amp;J10&amp;")   •   "&amp;TEXT(C10,"0")&amp;" responses","")</f>
        <v>FINAL UAT SCORE  →  Overall Weighted Mean 3.97 / 4.00   (Strongly Agree)   •   112 responses</v>
      </c>
      <c r="B11" s="28"/>
      <c r="C11" s="28"/>
      <c r="D11" s="28"/>
      <c r="E11" s="28"/>
      <c r="F11" s="28"/>
      <c r="G11" s="28"/>
      <c r="H11" s="28"/>
      <c r="I11" s="28"/>
      <c r="J11" s="28"/>
    </row>
    <row r="12" spans="1:10" x14ac:dyDescent="0.25">
      <c r="A12" s="23" t="s">
        <v>69</v>
      </c>
      <c r="B12" s="24"/>
      <c r="C12" s="24"/>
      <c r="D12" s="24"/>
      <c r="E12" s="24"/>
      <c r="F12" s="24"/>
      <c r="G12" s="24"/>
      <c r="H12" s="24"/>
      <c r="I12" s="24"/>
      <c r="J12" s="24"/>
    </row>
    <row r="14" spans="1:10" x14ac:dyDescent="0.25">
      <c r="A14" s="26" t="s">
        <v>70</v>
      </c>
      <c r="B14" s="24"/>
      <c r="C14" s="24"/>
      <c r="D14" s="24"/>
    </row>
    <row r="15" spans="1:10" ht="25.5" x14ac:dyDescent="0.25">
      <c r="A15" s="1" t="s">
        <v>3</v>
      </c>
      <c r="B15" s="1" t="s">
        <v>71</v>
      </c>
      <c r="C15" s="1" t="s">
        <v>40</v>
      </c>
      <c r="D15" s="1" t="s">
        <v>67</v>
      </c>
    </row>
    <row r="16" spans="1:10" x14ac:dyDescent="0.25">
      <c r="A16" s="7" t="s">
        <v>20</v>
      </c>
      <c r="B16" s="2">
        <f>COUNTIF('Raw Responses'!B4:B61,"Biñan")</f>
        <v>1</v>
      </c>
      <c r="C16" s="10">
        <f>IFERROR(SUMIF('Raw Responses'!B4:B61,"Biñan",'Raw Responses'!Q4:Q61)/(COUNTIF('Raw Responses'!B4:B61,"Biñan")*14),"")</f>
        <v>4</v>
      </c>
      <c r="D16" s="7" t="str">
        <f>IFERROR(IF(C16&gt;=3.26,"Strongly Agree",IF(C16&gt;=2.51,"Agree",IF(C16&gt;=1.76,"Disagree","Strongly Disagree"))),"")</f>
        <v>Strongly Agree</v>
      </c>
    </row>
    <row r="17" spans="1:4" x14ac:dyDescent="0.25">
      <c r="A17" s="7" t="s">
        <v>22</v>
      </c>
      <c r="B17" s="2">
        <f>COUNTIF('Raw Responses'!B4:B61,"Santa Rosa")</f>
        <v>4</v>
      </c>
      <c r="C17" s="10">
        <f>IFERROR(SUMIF('Raw Responses'!B4:B61,"Santa Rosa",'Raw Responses'!Q4:Q61)/(COUNTIF('Raw Responses'!B4:B61,"Santa Rosa")*14),"")</f>
        <v>4</v>
      </c>
      <c r="D17" s="7" t="str">
        <f>IFERROR(IF(C17&gt;=3.26,"Strongly Agree",IF(C17&gt;=2.51,"Agree",IF(C17&gt;=1.76,"Disagree","Strongly Disagree"))),"")</f>
        <v>Strongly Agree</v>
      </c>
    </row>
    <row r="18" spans="1:4" x14ac:dyDescent="0.25">
      <c r="A18" s="7" t="s">
        <v>27</v>
      </c>
      <c r="B18" s="2">
        <f>COUNTIF('Raw Responses'!B4:B61,"Calamba")</f>
        <v>3</v>
      </c>
      <c r="C18" s="10">
        <f>IFERROR(SUMIF('Raw Responses'!B4:B61,"Calamba",'Raw Responses'!Q4:Q61)/(COUNTIF('Raw Responses'!B4:B61,"Calamba")*14),"")</f>
        <v>3.9285714285714284</v>
      </c>
      <c r="D18" s="7" t="str">
        <f>IFERROR(IF(C18&gt;=3.26,"Strongly Agree",IF(C18&gt;=2.51,"Agree",IF(C18&gt;=1.76,"Disagree","Strongly Disagree"))),"")</f>
        <v>Strongly Agree</v>
      </c>
    </row>
    <row r="19" spans="1:4" x14ac:dyDescent="0.25">
      <c r="A19" s="7" t="s">
        <v>72</v>
      </c>
      <c r="B19" s="2">
        <f>COUNTIF('Raw Responses'!B4:B61,"Cabuyao")</f>
        <v>0</v>
      </c>
      <c r="C19" s="10" t="str">
        <f>IFERROR(SUMIF('Raw Responses'!B4:B61,"Cabuyao",'Raw Responses'!Q4:Q61)/(COUNTIF('Raw Responses'!B4:B61,"Cabuyao")*14),"")</f>
        <v/>
      </c>
      <c r="D19" s="7" t="str">
        <f>IFERROR(IF(C19&gt;=3.26,"Strongly Agree",IF(C19&gt;=2.51,"Agree",IF(C19&gt;=1.76,"Disagree","Strongly Disagree"))),"")</f>
        <v>Strongly Agree</v>
      </c>
    </row>
  </sheetData>
  <mergeCells count="5">
    <mergeCell ref="A2:I2"/>
    <mergeCell ref="A1:I1"/>
    <mergeCell ref="A12:J12"/>
    <mergeCell ref="A14:D14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workbookViewId="0">
      <selection activeCell="D29" sqref="D29"/>
    </sheetView>
  </sheetViews>
  <sheetFormatPr defaultRowHeight="15" x14ac:dyDescent="0.25"/>
  <cols>
    <col min="1" max="1" width="26" customWidth="1"/>
    <col min="2" max="2" width="14" customWidth="1"/>
  </cols>
  <sheetData>
    <row r="1" spans="1:4" ht="18" x14ac:dyDescent="0.25">
      <c r="A1" s="25" t="s">
        <v>73</v>
      </c>
      <c r="B1" s="24"/>
      <c r="C1" s="24"/>
      <c r="D1" s="24"/>
    </row>
    <row r="3" spans="1:4" x14ac:dyDescent="0.25">
      <c r="A3" s="1" t="s">
        <v>74</v>
      </c>
      <c r="B3" s="1" t="s">
        <v>75</v>
      </c>
    </row>
    <row r="4" spans="1:4" x14ac:dyDescent="0.25">
      <c r="A4" s="2" t="s">
        <v>4</v>
      </c>
      <c r="B4" s="15">
        <f>IFERROR(VAR('Raw Responses'!C4:C61),0)</f>
        <v>0.21428571428571427</v>
      </c>
    </row>
    <row r="5" spans="1:4" x14ac:dyDescent="0.25">
      <c r="A5" s="2" t="s">
        <v>5</v>
      </c>
      <c r="B5" s="15">
        <f>IFERROR(VAR('Raw Responses'!D4:D61),0)</f>
        <v>0</v>
      </c>
    </row>
    <row r="6" spans="1:4" x14ac:dyDescent="0.25">
      <c r="A6" s="2" t="s">
        <v>6</v>
      </c>
      <c r="B6" s="15">
        <f>IFERROR(VAR('Raw Responses'!E4:E61),0)</f>
        <v>0</v>
      </c>
    </row>
    <row r="7" spans="1:4" x14ac:dyDescent="0.25">
      <c r="A7" s="2" t="s">
        <v>7</v>
      </c>
      <c r="B7" s="15">
        <f>IFERROR(VAR('Raw Responses'!F4:F61),0)</f>
        <v>0</v>
      </c>
    </row>
    <row r="8" spans="1:4" x14ac:dyDescent="0.25">
      <c r="A8" s="2" t="s">
        <v>8</v>
      </c>
      <c r="B8" s="15">
        <f>IFERROR(VAR('Raw Responses'!G4:G61),0)</f>
        <v>0</v>
      </c>
    </row>
    <row r="9" spans="1:4" x14ac:dyDescent="0.25">
      <c r="A9" s="2" t="s">
        <v>9</v>
      </c>
      <c r="B9" s="15">
        <f>IFERROR(VAR('Raw Responses'!H4:H61),0)</f>
        <v>0</v>
      </c>
    </row>
    <row r="10" spans="1:4" x14ac:dyDescent="0.25">
      <c r="A10" s="2" t="s">
        <v>10</v>
      </c>
      <c r="B10" s="15">
        <f>IFERROR(VAR('Raw Responses'!I4:I61),0)</f>
        <v>0</v>
      </c>
    </row>
    <row r="11" spans="1:4" x14ac:dyDescent="0.25">
      <c r="A11" s="2" t="s">
        <v>11</v>
      </c>
      <c r="B11" s="15">
        <f>IFERROR(VAR('Raw Responses'!J4:J61),0)</f>
        <v>0</v>
      </c>
    </row>
    <row r="12" spans="1:4" x14ac:dyDescent="0.25">
      <c r="A12" s="2" t="s">
        <v>12</v>
      </c>
      <c r="B12" s="15">
        <f>IFERROR(VAR('Raw Responses'!K4:K61),0)</f>
        <v>0</v>
      </c>
    </row>
    <row r="13" spans="1:4" x14ac:dyDescent="0.25">
      <c r="A13" s="2" t="s">
        <v>13</v>
      </c>
      <c r="B13" s="15">
        <f>IFERROR(VAR('Raw Responses'!L4:L61),0)</f>
        <v>0</v>
      </c>
    </row>
    <row r="14" spans="1:4" x14ac:dyDescent="0.25">
      <c r="A14" s="2" t="s">
        <v>14</v>
      </c>
      <c r="B14" s="15">
        <f>IFERROR(VAR('Raw Responses'!M4:M61),0)</f>
        <v>0</v>
      </c>
    </row>
    <row r="15" spans="1:4" x14ac:dyDescent="0.25">
      <c r="A15" s="2" t="s">
        <v>15</v>
      </c>
      <c r="B15" s="15">
        <f>IFERROR(VAR('Raw Responses'!N4:N61),0)</f>
        <v>0</v>
      </c>
    </row>
    <row r="16" spans="1:4" x14ac:dyDescent="0.25">
      <c r="A16" s="2" t="s">
        <v>16</v>
      </c>
      <c r="B16" s="15">
        <f>IFERROR(VAR('Raw Responses'!O4:O61),0)</f>
        <v>0</v>
      </c>
    </row>
    <row r="17" spans="1:6" x14ac:dyDescent="0.25">
      <c r="A17" s="2" t="s">
        <v>17</v>
      </c>
      <c r="B17" s="15">
        <f>IFERROR(VAR('Raw Responses'!P4:P61),0)</f>
        <v>0.125</v>
      </c>
    </row>
    <row r="19" spans="1:6" x14ac:dyDescent="0.25">
      <c r="A19" s="16" t="s">
        <v>76</v>
      </c>
      <c r="B19" s="17">
        <f>14</f>
        <v>14</v>
      </c>
    </row>
    <row r="20" spans="1:6" x14ac:dyDescent="0.25">
      <c r="A20" s="16" t="s">
        <v>77</v>
      </c>
      <c r="B20" s="18">
        <f>SUM(B4:B17)</f>
        <v>0.3392857142857143</v>
      </c>
    </row>
    <row r="21" spans="1:6" x14ac:dyDescent="0.25">
      <c r="A21" s="16" t="s">
        <v>78</v>
      </c>
      <c r="B21" s="18">
        <f>IFERROR(VAR('Raw Responses'!Q4:Q61),0)</f>
        <v>0.26785714285714285</v>
      </c>
    </row>
    <row r="22" spans="1:6" x14ac:dyDescent="0.25">
      <c r="A22" s="19" t="s">
        <v>79</v>
      </c>
      <c r="B22" s="20">
        <f>IFERROR((14/13)*(1-B20/B21),"")</f>
        <v>-0.28717948717948732</v>
      </c>
    </row>
    <row r="24" spans="1:6" x14ac:dyDescent="0.25">
      <c r="A24" s="29" t="s">
        <v>80</v>
      </c>
      <c r="B24" s="24"/>
      <c r="C24" s="24"/>
      <c r="D24" s="24"/>
      <c r="E24" s="24"/>
      <c r="F24" s="24"/>
    </row>
    <row r="25" spans="1:6" x14ac:dyDescent="0.25">
      <c r="A25" s="24"/>
      <c r="B25" s="24"/>
      <c r="C25" s="24"/>
      <c r="D25" s="24"/>
      <c r="E25" s="24"/>
      <c r="F25" s="24"/>
    </row>
    <row r="26" spans="1:6" x14ac:dyDescent="0.25">
      <c r="A26" s="24"/>
      <c r="B26" s="24"/>
      <c r="C26" s="24"/>
      <c r="D26" s="24"/>
      <c r="E26" s="24"/>
      <c r="F26" s="24"/>
    </row>
    <row r="27" spans="1:6" x14ac:dyDescent="0.25">
      <c r="A27" s="24"/>
      <c r="B27" s="24"/>
      <c r="C27" s="24"/>
      <c r="D27" s="24"/>
      <c r="E27" s="24"/>
      <c r="F27" s="24"/>
    </row>
  </sheetData>
  <mergeCells count="2">
    <mergeCell ref="A24:F27"/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>
      <selection activeCell="B34" sqref="B34"/>
    </sheetView>
  </sheetViews>
  <sheetFormatPr defaultRowHeight="15" x14ac:dyDescent="0.25"/>
  <cols>
    <col min="1" max="1" width="26" customWidth="1"/>
    <col min="2" max="2" width="85" customWidth="1"/>
  </cols>
  <sheetData>
    <row r="1" spans="1:3" ht="18" x14ac:dyDescent="0.25">
      <c r="A1" s="25" t="s">
        <v>81</v>
      </c>
      <c r="B1" s="24"/>
      <c r="C1" s="24"/>
    </row>
    <row r="3" spans="1:3" x14ac:dyDescent="0.25">
      <c r="A3" s="21" t="s">
        <v>82</v>
      </c>
      <c r="B3" s="21" t="s">
        <v>83</v>
      </c>
    </row>
    <row r="4" spans="1:3" x14ac:dyDescent="0.25">
      <c r="A4" s="22" t="s">
        <v>84</v>
      </c>
      <c r="B4" s="8" t="s">
        <v>85</v>
      </c>
    </row>
    <row r="5" spans="1:3" x14ac:dyDescent="0.25">
      <c r="A5" s="22" t="s">
        <v>86</v>
      </c>
      <c r="B5" s="8" t="s">
        <v>87</v>
      </c>
    </row>
    <row r="6" spans="1:3" x14ac:dyDescent="0.25">
      <c r="A6" s="22" t="s">
        <v>88</v>
      </c>
      <c r="B6" s="8" t="s">
        <v>89</v>
      </c>
    </row>
    <row r="7" spans="1:3" x14ac:dyDescent="0.25">
      <c r="A7" s="22" t="s">
        <v>90</v>
      </c>
      <c r="B7" s="8" t="s">
        <v>91</v>
      </c>
    </row>
    <row r="8" spans="1:3" ht="25.5" x14ac:dyDescent="0.25">
      <c r="A8" s="22" t="s">
        <v>92</v>
      </c>
      <c r="B8" s="8" t="s">
        <v>93</v>
      </c>
    </row>
    <row r="9" spans="1:3" ht="25.5" x14ac:dyDescent="0.25">
      <c r="A9" s="22" t="s">
        <v>94</v>
      </c>
      <c r="B9" s="8" t="s">
        <v>95</v>
      </c>
    </row>
    <row r="11" spans="1:3" x14ac:dyDescent="0.25">
      <c r="A11" s="21" t="s">
        <v>96</v>
      </c>
      <c r="B11" s="21" t="s">
        <v>97</v>
      </c>
    </row>
    <row r="12" spans="1:3" x14ac:dyDescent="0.25">
      <c r="A12" s="8" t="s">
        <v>98</v>
      </c>
      <c r="B12" s="8" t="s">
        <v>43</v>
      </c>
    </row>
    <row r="13" spans="1:3" x14ac:dyDescent="0.25">
      <c r="A13" s="8" t="s">
        <v>99</v>
      </c>
      <c r="B13" s="8" t="s">
        <v>44</v>
      </c>
    </row>
    <row r="14" spans="1:3" x14ac:dyDescent="0.25">
      <c r="A14" s="8" t="s">
        <v>100</v>
      </c>
      <c r="B14" s="8" t="s">
        <v>45</v>
      </c>
    </row>
    <row r="15" spans="1:3" ht="25.5" x14ac:dyDescent="0.25">
      <c r="A15" s="8" t="s">
        <v>101</v>
      </c>
      <c r="B15" s="8" t="s">
        <v>47</v>
      </c>
    </row>
    <row r="16" spans="1:3" ht="25.5" x14ac:dyDescent="0.25">
      <c r="A16" s="8" t="s">
        <v>102</v>
      </c>
      <c r="B16" s="8" t="s">
        <v>48</v>
      </c>
    </row>
    <row r="17" spans="1:2" x14ac:dyDescent="0.25">
      <c r="A17" s="8" t="s">
        <v>103</v>
      </c>
      <c r="B17" s="8" t="s">
        <v>50</v>
      </c>
    </row>
    <row r="18" spans="1:2" x14ac:dyDescent="0.25">
      <c r="A18" s="8" t="s">
        <v>104</v>
      </c>
      <c r="B18" s="8" t="s">
        <v>51</v>
      </c>
    </row>
    <row r="19" spans="1:2" x14ac:dyDescent="0.25">
      <c r="A19" s="8" t="s">
        <v>105</v>
      </c>
      <c r="B19" s="8" t="s">
        <v>52</v>
      </c>
    </row>
    <row r="20" spans="1:2" x14ac:dyDescent="0.25">
      <c r="A20" s="8" t="s">
        <v>106</v>
      </c>
      <c r="B20" s="8" t="s">
        <v>54</v>
      </c>
    </row>
    <row r="21" spans="1:2" x14ac:dyDescent="0.25">
      <c r="A21" s="8" t="s">
        <v>107</v>
      </c>
      <c r="B21" s="8" t="s">
        <v>55</v>
      </c>
    </row>
    <row r="22" spans="1:2" x14ac:dyDescent="0.25">
      <c r="A22" s="8" t="s">
        <v>108</v>
      </c>
      <c r="B22" s="8" t="s">
        <v>57</v>
      </c>
    </row>
    <row r="23" spans="1:2" x14ac:dyDescent="0.25">
      <c r="A23" s="8" t="s">
        <v>109</v>
      </c>
      <c r="B23" s="8" t="s">
        <v>58</v>
      </c>
    </row>
    <row r="24" spans="1:2" x14ac:dyDescent="0.25">
      <c r="A24" s="8" t="s">
        <v>110</v>
      </c>
      <c r="B24" s="8" t="s">
        <v>60</v>
      </c>
    </row>
    <row r="25" spans="1:2" x14ac:dyDescent="0.25">
      <c r="A25" s="8" t="s">
        <v>111</v>
      </c>
      <c r="B25" s="8" t="s">
        <v>61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Responses</vt:lpstr>
      <vt:lpstr>Item Summary</vt:lpstr>
      <vt:lpstr>Summary (Appendix)</vt:lpstr>
      <vt:lpstr>Reliability</vt:lpstr>
      <vt:lpstr>Key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KESTER SHAAN L. PRAFEROSA</cp:lastModifiedBy>
  <dcterms:created xsi:type="dcterms:W3CDTF">2026-09-24T15:58:02Z</dcterms:created>
  <dcterms:modified xsi:type="dcterms:W3CDTF">2026-09-24T15:58:59Z</dcterms:modified>
</cp:coreProperties>
</file>