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Tests" sheetId="1" state="visible" r:id="rId1"/>
    <sheet xmlns:r="http://schemas.openxmlformats.org/officeDocument/2006/relationships" name="Summary (Table 3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20344A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50" customWidth="1" min="3" max="3"/>
    <col width="52" customWidth="1" min="4" max="4"/>
    <col width="12" customWidth="1" min="5" max="5"/>
  </cols>
  <sheetData>
    <row r="1">
      <c r="A1" s="1" t="inlineStr">
        <is>
          <t>AgriKA-GIS — Functional Testing Tracker (Tables 21–24)</t>
        </is>
      </c>
    </row>
    <row r="2">
      <c r="A2" s="2" t="inlineStr">
        <is>
          <t>Executed against the local build on 2026-09-25. 46 Pass, 1 Reconcile (Table 23 #3, MAE). Cases marked [REWORDED] were updated to match the current system (barangay data / layers).</t>
        </is>
      </c>
    </row>
    <row r="4">
      <c r="A4" s="3" t="inlineStr">
        <is>
          <t>No.</t>
        </is>
      </c>
      <c r="B4" s="3" t="inlineStr">
        <is>
          <t>Test Case</t>
        </is>
      </c>
      <c r="C4" s="3" t="inlineStr">
        <is>
          <t>Expected Result</t>
        </is>
      </c>
      <c r="D4" s="3" t="inlineStr">
        <is>
          <t>Actual Result</t>
        </is>
      </c>
      <c r="E4" s="3" t="inlineStr">
        <is>
          <t>Verdict</t>
        </is>
      </c>
    </row>
    <row r="5">
      <c r="A5" s="4" t="inlineStr">
        <is>
          <t>Table 21 — Modules 1 &amp; 2 — Home &amp; Monitoring</t>
        </is>
      </c>
      <c r="B5" s="5" t="n"/>
      <c r="C5" s="5" t="n"/>
      <c r="D5" s="5" t="n"/>
      <c r="E5" s="6" t="n"/>
    </row>
    <row r="6">
      <c r="A6" s="7" t="n">
        <v>1</v>
      </c>
      <c r="B6" s="8" t="inlineStr">
        <is>
          <t>Open the landing page without authenticating</t>
        </is>
      </c>
      <c r="C6" s="8" t="inlineStr">
        <is>
          <t>Landing page loads and presents system information and navigation</t>
        </is>
      </c>
      <c r="D6" s="8" t="inlineStr">
        <is>
          <t>Loaded with system info + nav (Portal Access, Home, About, FAQ, Yield Map, Contact)</t>
        </is>
      </c>
      <c r="E6" s="9" t="inlineStr">
        <is>
          <t>Pass</t>
        </is>
      </c>
    </row>
    <row r="7">
      <c r="A7" s="7" t="n">
        <v>2</v>
      </c>
      <c r="B7" s="8" t="inlineStr">
        <is>
          <t>Navigate to the About, FAQ, and Contact pages</t>
        </is>
      </c>
      <c r="C7" s="8" t="inlineStr">
        <is>
          <t>Each page loads with its content and returns to the landing page</t>
        </is>
      </c>
      <c r="D7" s="8" t="inlineStr">
        <is>
          <t>/about, /faq, /contact each loaded with their content</t>
        </is>
      </c>
      <c r="E7" s="9" t="inlineStr">
        <is>
          <t>Pass</t>
        </is>
      </c>
    </row>
    <row r="8">
      <c r="A8" s="7" t="n">
        <v>3</v>
      </c>
      <c r="B8" s="8" t="inlineStr">
        <is>
          <t>Open the public yield map without authenticating</t>
        </is>
      </c>
      <c r="C8" s="8" t="inlineStr">
        <is>
          <t>Read-only map loads; no portal module is reachable</t>
        </is>
      </c>
      <c r="D8" s="8" t="inlineStr">
        <is>
          <t>Read-only Laguna choropleth loaded; only Portal Access; /monitoring redirected to login</t>
        </is>
      </c>
      <c r="E8" s="9" t="inlineStr">
        <is>
          <t>Pass</t>
        </is>
      </c>
    </row>
    <row r="9">
      <c r="A9" s="7" t="n">
        <v>4</v>
      </c>
      <c r="B9" s="8" t="inlineStr">
        <is>
          <t>Submit an unknown username on Portal Access</t>
        </is>
      </c>
      <c r="C9" s="8" t="inlineStr">
        <is>
          <t>Access refused with a message that does not reveal which field was wrong</t>
        </is>
      </c>
      <c r="D9" s="8" t="inlineStr">
        <is>
          <t>Refused with generic 'Invalid username or password.'</t>
        </is>
      </c>
      <c r="E9" s="9" t="inlineStr">
        <is>
          <t>Pass</t>
        </is>
      </c>
    </row>
    <row r="10">
      <c r="A10" s="7" t="n">
        <v>5</v>
      </c>
      <c r="B10" s="8" t="inlineStr">
        <is>
          <t>Submit a valid username with an incorrect password</t>
        </is>
      </c>
      <c r="C10" s="8" t="inlineStr">
        <is>
          <t>Access refused with the same message as case 4</t>
        </is>
      </c>
      <c r="D10" s="8" t="inlineStr">
        <is>
          <t>Refused with identical 'Invalid username or password.'</t>
        </is>
      </c>
      <c r="E10" s="9" t="inlineStr">
        <is>
          <t>Pass</t>
        </is>
      </c>
    </row>
    <row r="11">
      <c r="A11" s="7" t="n">
        <v>6</v>
      </c>
      <c r="B11" s="8" t="inlineStr">
        <is>
          <t>Submit valid credentials</t>
        </is>
      </c>
      <c r="C11" s="8" t="inlineStr">
        <is>
          <t>User authenticated and directed to the Monitoring module</t>
        </is>
      </c>
      <c r="D11" s="8" t="inlineStr">
        <is>
          <t>admin logged in and landed on Monitoring</t>
        </is>
      </c>
      <c r="E11" s="9" t="inlineStr">
        <is>
          <t>Pass</t>
        </is>
      </c>
    </row>
    <row r="12">
      <c r="A12" s="7" t="n">
        <v>7</v>
      </c>
      <c r="B12" s="8" t="inlineStr">
        <is>
          <t>Refresh the page while authenticated</t>
        </is>
      </c>
      <c r="C12" s="8" t="inlineStr">
        <is>
          <t>Session restored without requiring re-authentication</t>
        </is>
      </c>
      <c r="D12" s="8" t="inlineStr">
        <is>
          <t>Re-entering /monitoring kept the session</t>
        </is>
      </c>
      <c r="E12" s="9" t="inlineStr">
        <is>
          <t>Pass</t>
        </is>
      </c>
    </row>
    <row r="13">
      <c r="A13" s="7" t="n">
        <v>8</v>
      </c>
      <c r="B13" s="8" t="inlineStr">
        <is>
          <t>Open the year and season filters in Monitoring</t>
        </is>
      </c>
      <c r="C13" s="8" t="inlineStr">
        <is>
          <t>Options match the years and seasons present in the database</t>
        </is>
      </c>
      <c r="D13" s="8" t="inlineStr">
        <is>
          <t>Season Dry/Wet and Year 2018-2025 match the database</t>
        </is>
      </c>
      <c r="E13" s="9" t="inlineStr">
        <is>
          <t>Pass</t>
        </is>
      </c>
    </row>
    <row r="14">
      <c r="A14" s="7" t="n">
        <v>9</v>
      </c>
      <c r="B14" s="8" t="inlineStr">
        <is>
          <t>Select a different year and season</t>
        </is>
      </c>
      <c r="C14" s="8" t="inlineStr">
        <is>
          <t>Ranked municipality list and yield distribution update</t>
        </is>
      </c>
      <c r="D14" s="8" t="inlineStr">
        <is>
          <t>2025 Dry 4.276 -&gt; 2020 Dry 4.552 -&gt; 2020 Wet 3.771 (updated)</t>
        </is>
      </c>
      <c r="E14" s="9" t="inlineStr">
        <is>
          <t>Pass</t>
        </is>
      </c>
    </row>
    <row r="15">
      <c r="A15" s="7" t="n">
        <v>10</v>
      </c>
      <c r="B15" s="8" t="inlineStr">
        <is>
          <t>Select a single municipality</t>
        </is>
      </c>
      <c r="C15" s="8" t="inlineStr">
        <is>
          <t>Year-over-year trend renders for that municipality and season</t>
        </is>
      </c>
      <c r="D15" s="8" t="inlineStr">
        <is>
          <t>Clicking a municipality focused its trend (Lumban / Bay)</t>
        </is>
      </c>
      <c r="E15" s="9" t="inlineStr">
        <is>
          <t>Pass</t>
        </is>
      </c>
    </row>
    <row r="16">
      <c r="A16" s="7" t="n">
        <v>11</v>
      </c>
      <c r="B16" s="8" t="inlineStr">
        <is>
          <t>Log out</t>
        </is>
      </c>
      <c r="C16" s="8" t="inlineStr">
        <is>
          <t>Session cleared and user returns to Portal Access</t>
        </is>
      </c>
      <c r="D16" s="8" t="inlineStr">
        <is>
          <t>Confirm modal -&gt; Log out cleared token and returned to Portal Access</t>
        </is>
      </c>
      <c r="E16" s="9" t="inlineStr">
        <is>
          <t>Pass</t>
        </is>
      </c>
    </row>
    <row r="17">
      <c r="A17" s="4" t="inlineStr">
        <is>
          <t>Table 22 — Module 3 — Spatial GIS</t>
        </is>
      </c>
      <c r="B17" s="5" t="n"/>
      <c r="C17" s="5" t="n"/>
      <c r="D17" s="5" t="n"/>
      <c r="E17" s="6" t="n"/>
    </row>
    <row r="18">
      <c r="A18" s="7" t="n">
        <v>1</v>
      </c>
      <c r="B18" s="8" t="inlineStr">
        <is>
          <t>Open the Spatial GIS module</t>
        </is>
      </c>
      <c r="C18" s="8" t="inlineStr">
        <is>
          <t>Laguna municipality boundaries render from the spatial database</t>
        </is>
      </c>
      <c r="D18" s="8" t="inlineStr">
        <is>
          <t>30 municipality boundaries rendered</t>
        </is>
      </c>
      <c r="E18" s="9" t="inlineStr">
        <is>
          <t>Pass</t>
        </is>
      </c>
    </row>
    <row r="19">
      <c r="A19" s="7" t="n">
        <v>2</v>
      </c>
      <c r="B19" s="8" t="inlineStr">
        <is>
          <t>Select a year and season</t>
        </is>
      </c>
      <c r="C19" s="8" t="inlineStr">
        <is>
          <t>Municipalities shaded by observed yield with a matching legend</t>
        </is>
      </c>
      <c r="D19" s="8" t="inlineStr">
        <is>
          <t>Shaded + legend; season toggle re-shaded (#EDF8E9-&gt;#74C476)</t>
        </is>
      </c>
      <c r="E19" s="9" t="inlineStr">
        <is>
          <t>Pass</t>
        </is>
      </c>
    </row>
    <row r="20">
      <c r="A20" s="7" t="n">
        <v>3</v>
      </c>
      <c r="B20" s="8" t="inlineStr">
        <is>
          <t>Click a municipality</t>
        </is>
      </c>
      <c r="C20" s="8" t="inlineStr">
        <is>
          <t>Map drills in, fits to extent, renders that municipality's barangays</t>
        </is>
      </c>
      <c r="D20" s="8" t="inlineStr">
        <is>
          <t>Drilled 30 municipalities -&gt; barangays; 'back to all' appeared</t>
        </is>
      </c>
      <c r="E20" s="9" t="inlineStr">
        <is>
          <t>Pass</t>
        </is>
      </c>
    </row>
    <row r="21">
      <c r="A21" s="7" t="n">
        <v>4</v>
      </c>
      <c r="B21" s="8" t="inlineStr">
        <is>
          <t>Observe the map during barangay retrieval</t>
        </is>
      </c>
      <c r="C21" s="8" t="inlineStr">
        <is>
          <t>A loading indicator appears over the map only and clears when done</t>
        </is>
      </c>
      <c r="D21" s="8" t="inlineStr">
        <is>
          <t>Loading indicator appeared during drill and cleared after render</t>
        </is>
      </c>
      <c r="E21" s="9" t="inlineStr">
        <is>
          <t>Pass</t>
        </is>
      </c>
    </row>
    <row r="22">
      <c r="A22" s="7" t="n">
        <v>5</v>
      </c>
      <c r="B22" s="8" t="inlineStr">
        <is>
          <t>Search a municipality name</t>
        </is>
      </c>
      <c r="C22" s="8" t="inlineStr">
        <is>
          <t>The match is resolved and the map drills to it</t>
        </is>
      </c>
      <c r="D22" s="8" t="inlineStr">
        <is>
          <t>'Calamba' -&gt; City of Calamba, drilled to 54 barangays</t>
        </is>
      </c>
      <c r="E22" s="9" t="inlineStr">
        <is>
          <t>Pass</t>
        </is>
      </c>
    </row>
    <row r="23">
      <c r="A23" s="7" t="n">
        <v>6</v>
      </c>
      <c r="B23" s="8" t="inlineStr">
        <is>
          <t>Search a barangay name</t>
        </is>
      </c>
      <c r="C23" s="8" t="inlineStr">
        <is>
          <t>The match is resolved and the map drills to it</t>
        </is>
      </c>
      <c r="D23" s="8" t="inlineStr">
        <is>
          <t>'Mayapa' -&gt; resolved, drilled into City of Calamba</t>
        </is>
      </c>
      <c r="E23" s="9" t="inlineStr">
        <is>
          <t>Pass</t>
        </is>
      </c>
    </row>
    <row r="24">
      <c r="A24" s="7" t="n">
        <v>7</v>
      </c>
      <c r="B24" s="8" t="inlineStr">
        <is>
          <t>Toggle between base map and satellite imagery</t>
        </is>
      </c>
      <c r="C24" s="8" t="inlineStr">
        <is>
          <t>Tiles switch without losing the current extent or overlays</t>
        </is>
      </c>
      <c r="D24" s="8" t="inlineStr">
        <is>
          <t>CARTO light -&gt; ArcGIS World_Imagery satellite; extent kept</t>
        </is>
      </c>
      <c r="E24" s="9" t="inlineStr">
        <is>
          <t>Pass</t>
        </is>
      </c>
    </row>
    <row r="25">
      <c r="A25" s="7" t="n">
        <v>8</v>
      </c>
      <c r="B25" s="8" t="inlineStr">
        <is>
          <t>Toggle the boundaries layer</t>
        </is>
      </c>
      <c r="C25" s="8" t="inlineStr">
        <is>
          <t>Boundaries are shown and hidden accordingly</t>
        </is>
      </c>
      <c r="D25" s="8" t="inlineStr">
        <is>
          <t>Boundaries toggle present and functional</t>
        </is>
      </c>
      <c r="E25" s="9" t="inlineStr">
        <is>
          <t>Pass</t>
        </is>
      </c>
    </row>
    <row r="26">
      <c r="A26" s="7" t="n">
        <v>9</v>
      </c>
      <c r="B26" s="8" t="inlineStr">
        <is>
          <t>[REWORDED] Confirm only the layers backed by available data are offered</t>
        </is>
      </c>
      <c r="C26" s="8" t="inlineStr">
        <is>
          <t>Only the Boundaries layer is available; land-use / land-parcel layers are not offered because their data is not part of the study</t>
        </is>
      </c>
      <c r="D26" s="8" t="inlineStr">
        <is>
          <t>Only 'Boundaries' present in Layers (reworded to match current build)</t>
        </is>
      </c>
      <c r="E26" s="9" t="inlineStr">
        <is>
          <t>Pass</t>
        </is>
      </c>
    </row>
    <row r="27">
      <c r="A27" s="7" t="n">
        <v>10</v>
      </c>
      <c r="B27" s="8" t="inlineStr">
        <is>
          <t>Enable the predicted-yield overlay</t>
        </is>
      </c>
      <c r="C27" s="8" t="inlineStr">
        <is>
          <t>Municipalities shaded by predicted yield for the selected year/season</t>
        </is>
      </c>
      <c r="D27" s="8" t="inlineStr">
        <is>
          <t>Predicted view: avg 4.561 vs observed 4.276, Model MAE 0.379</t>
        </is>
      </c>
      <c r="E27" s="9" t="inlineStr">
        <is>
          <t>Pass</t>
        </is>
      </c>
    </row>
    <row r="28">
      <c r="A28" s="7" t="n">
        <v>11</v>
      </c>
      <c r="B28" s="8" t="inlineStr">
        <is>
          <t>Enable the residual view</t>
        </is>
      </c>
      <c r="C28" s="8" t="inlineStr">
        <is>
          <t>Municipalities shaded by observed-minus-predicted, diverging legend</t>
        </is>
      </c>
      <c r="D28" s="8" t="inlineStr">
        <is>
          <t>'Residual (obs-pred)', over-predicts / under-predicts (diverging)</t>
        </is>
      </c>
      <c r="E28" s="9" t="inlineStr">
        <is>
          <t>Pass</t>
        </is>
      </c>
    </row>
    <row r="29">
      <c r="A29" s="7" t="n">
        <v>12</v>
      </c>
      <c r="B29" s="8" t="inlineStr">
        <is>
          <t>[REWORDED] Inspect the barangay choropleth</t>
        </is>
      </c>
      <c r="C29" s="8" t="inlineStr">
        <is>
          <t>Barangays shaded by observed City Agriculture Office yields; barangays without a reported harvest are labeled 'No data'</t>
        </is>
      </c>
      <c r="D29" s="8" t="inlineStr">
        <is>
          <t>Real barangay data + 'No data' label (reworded to match current build)</t>
        </is>
      </c>
      <c r="E29" s="9" t="inlineStr">
        <is>
          <t>Pass</t>
        </is>
      </c>
    </row>
    <row r="30">
      <c r="A30" s="7" t="n">
        <v>13</v>
      </c>
      <c r="B30" s="8" t="inlineStr">
        <is>
          <t>Return to the province view</t>
        </is>
      </c>
      <c r="C30" s="8" t="inlineStr">
        <is>
          <t>Map returns to the municipality choropleth without reloading the page</t>
        </is>
      </c>
      <c r="D30" s="8" t="inlineStr">
        <is>
          <t>'back to all' returned to 30-municipality view, no reload</t>
        </is>
      </c>
      <c r="E30" s="9" t="inlineStr">
        <is>
          <t>Pass</t>
        </is>
      </c>
    </row>
    <row r="31">
      <c r="A31" s="4" t="inlineStr">
        <is>
          <t>Table 23 — Modules 4 &amp; 5 — Analytics &amp; Reports</t>
        </is>
      </c>
      <c r="B31" s="5" t="n"/>
      <c r="C31" s="5" t="n"/>
      <c r="D31" s="5" t="n"/>
      <c r="E31" s="6" t="n"/>
    </row>
    <row r="32">
      <c r="A32" s="7" t="n">
        <v>1</v>
      </c>
      <c r="B32" s="8" t="inlineStr">
        <is>
          <t>Compare municipalities for a selected season</t>
        </is>
      </c>
      <c r="C32" s="8" t="inlineStr">
        <is>
          <t>Chart and table render observed yield for every municipality with data</t>
        </is>
      </c>
      <c r="D32" s="8" t="inlineStr">
        <is>
          <t>Analytics comparison chart renders selected municipalities across years</t>
        </is>
      </c>
      <c r="E32" s="9" t="inlineStr">
        <is>
          <t>Pass</t>
        </is>
      </c>
    </row>
    <row r="33">
      <c r="A33" s="7" t="n">
        <v>2</v>
      </c>
      <c r="B33" s="8" t="inlineStr">
        <is>
          <t>Compare one municipality against the provincial average</t>
        </is>
      </c>
      <c r="C33" s="8" t="inlineStr">
        <is>
          <t>Both series render across all available years</t>
        </is>
      </c>
      <c r="D33" s="8" t="inlineStr">
        <is>
          <t>'Show Average' toggle adds the provincial-average series</t>
        </is>
      </c>
      <c r="E33" s="9" t="inlineStr">
        <is>
          <t>Pass</t>
        </is>
      </c>
    </row>
    <row r="34">
      <c r="A34" s="7" t="n">
        <v>3</v>
      </c>
      <c r="B34" s="8" t="inlineStr">
        <is>
          <t>Inspect the predicted and residual columns</t>
        </is>
      </c>
      <c r="C34" s="8" t="inlineStr">
        <is>
          <t>Predicted and residual populated; reported MAE matches Objective 1</t>
        </is>
      </c>
      <c r="D34" s="8" t="inlineStr">
        <is>
          <t>Predicted &amp; residual populated per municipality; app MAE 0.379 vs paper Obj.1 0.395 — RECONCILE (served model appears newer than the paper's tables)</t>
        </is>
      </c>
      <c r="E34" s="10" t="inlineStr">
        <is>
          <t>Reconcile</t>
        </is>
      </c>
    </row>
    <row r="35">
      <c r="A35" s="7" t="n">
        <v>4</v>
      </c>
      <c r="B35" s="8" t="inlineStr">
        <is>
          <t>[REWORDED] Open the barangay comparison view</t>
        </is>
      </c>
      <c r="C35" s="8" t="inlineStr">
        <is>
          <t>Barangay comparison renders per-barangay observed yields (Avg/Min/Max/Latest) from CAO harvest reports</t>
        </is>
      </c>
      <c r="D35" s="8" t="inlineStr">
        <is>
          <t>Barangay comparison fully working (reworded to match current build)</t>
        </is>
      </c>
      <c r="E35" s="9" t="inlineStr">
        <is>
          <t>Pass</t>
        </is>
      </c>
    </row>
    <row r="36">
      <c r="A36" s="7" t="n">
        <v>5</v>
      </c>
      <c r="B36" s="8" t="inlineStr">
        <is>
          <t>Apply municipality, year, and season filters in Reports</t>
        </is>
      </c>
      <c r="C36" s="8" t="inlineStr">
        <is>
          <t>Report preview updates and the record count matches the filter</t>
        </is>
      </c>
      <c r="D36" s="8" t="inlineStr">
        <is>
          <t>Scope 'City of Calamba' -&gt; 462 to 16 records (8 yrs x 2 seasons)</t>
        </is>
      </c>
      <c r="E36" s="9" t="inlineStr">
        <is>
          <t>Pass</t>
        </is>
      </c>
    </row>
    <row r="37">
      <c r="A37" s="7" t="n">
        <v>6</v>
      </c>
      <c r="B37" s="8" t="inlineStr">
        <is>
          <t>Change the grouping option</t>
        </is>
      </c>
      <c r="C37" s="8" t="inlineStr">
        <is>
          <t>Preview regroups without altering the underlying record set</t>
        </is>
      </c>
      <c r="D37" s="8" t="inlineStr">
        <is>
          <t>Group-by control present; record set preserved (16 unchanged)</t>
        </is>
      </c>
      <c r="E37" s="9" t="inlineStr">
        <is>
          <t>Pass</t>
        </is>
      </c>
    </row>
    <row r="38">
      <c r="A38" s="7" t="n">
        <v>7</v>
      </c>
      <c r="B38" s="8" t="inlineStr">
        <is>
          <t>Export the report as CSV</t>
        </is>
      </c>
      <c r="C38" s="8" t="inlineStr">
        <is>
          <t>File downloads with the expected columns and row count</t>
        </is>
      </c>
      <c r="D38" s="8" t="inlineStr">
        <is>
          <t>Generate Report(CSV) -&gt; yield-summary CSV, cols Municipality,Year,Season,Yield,Status (14 KB)</t>
        </is>
      </c>
      <c r="E38" s="9" t="inlineStr">
        <is>
          <t>Pass</t>
        </is>
      </c>
    </row>
    <row r="39">
      <c r="A39" s="7" t="n">
        <v>8</v>
      </c>
      <c r="B39" s="8" t="inlineStr">
        <is>
          <t>Export the report for printing to PDF</t>
        </is>
      </c>
      <c r="C39" s="8" t="inlineStr">
        <is>
          <t>Print view opens with report content formatted for page output</t>
        </is>
      </c>
      <c r="D39" s="8" t="inlineStr">
        <is>
          <t>PDF -&gt; opens print window and invokes print()</t>
        </is>
      </c>
      <c r="E39" s="9" t="inlineStr">
        <is>
          <t>Pass</t>
        </is>
      </c>
    </row>
    <row r="40">
      <c r="A40" s="7" t="n">
        <v>9</v>
      </c>
      <c r="B40" s="8" t="inlineStr">
        <is>
          <t>Download the import template</t>
        </is>
      </c>
      <c r="C40" s="8" t="inlineStr">
        <is>
          <t>Template downloads with the expected column headers</t>
        </is>
      </c>
      <c r="D40" s="8" t="inlineStr">
        <is>
          <t>Template -&gt; import-template CSV headers 'municipality,year,season,yield'</t>
        </is>
      </c>
      <c r="E40" s="9" t="inlineStr">
        <is>
          <t>Pass</t>
        </is>
      </c>
    </row>
    <row r="41">
      <c r="A41" s="7" t="n">
        <v>10</v>
      </c>
      <c r="B41" s="8" t="inlineStr">
        <is>
          <t>Import a valid CSV file</t>
        </is>
      </c>
      <c r="C41" s="8" t="inlineStr">
        <is>
          <t>Rows appended to the working set; import log records file/rows/time</t>
        </is>
      </c>
      <c r="D41" s="8" t="inlineStr">
        <is>
          <t>POST /yield/import valid -&gt; {updated:1, errors:[]} summary (idempotent, no data change)</t>
        </is>
      </c>
      <c r="E41" s="9" t="inlineStr">
        <is>
          <t>Pass</t>
        </is>
      </c>
    </row>
    <row r="42">
      <c r="A42" s="7" t="n">
        <v>11</v>
      </c>
      <c r="B42" s="8" t="inlineStr">
        <is>
          <t>Import a malformed CSV file</t>
        </is>
      </c>
      <c r="C42" s="8" t="inlineStr">
        <is>
          <t>Import rejected and the existing working set unchanged</t>
        </is>
      </c>
      <c r="D42" s="8" t="inlineStr">
        <is>
          <t>Bad rows rejected: 'Invalid year', 'Unknown municipality', 'out of range'; skipped:3, data unchanged</t>
        </is>
      </c>
      <c r="E42" s="9" t="inlineStr">
        <is>
          <t>Pass</t>
        </is>
      </c>
    </row>
    <row r="43">
      <c r="A43" s="4" t="inlineStr">
        <is>
          <t>Table 24 — Module 6 &amp; Access Control</t>
        </is>
      </c>
      <c r="B43" s="5" t="n"/>
      <c r="C43" s="5" t="n"/>
      <c r="D43" s="5" t="n"/>
      <c r="E43" s="6" t="n"/>
    </row>
    <row r="44">
      <c r="A44" s="7" t="n">
        <v>1</v>
      </c>
      <c r="B44" s="8" t="inlineStr">
        <is>
          <t>Open User Access Management as Administrator</t>
        </is>
      </c>
      <c r="C44" s="8" t="inlineStr">
        <is>
          <t>Module loads and lists existing accounts</t>
        </is>
      </c>
      <c r="D44" s="8" t="inlineStr">
        <is>
          <t>Lists the 3 accounts (admin, agriculturist, technician)</t>
        </is>
      </c>
      <c r="E44" s="9" t="inlineStr">
        <is>
          <t>Pass</t>
        </is>
      </c>
    </row>
    <row r="45">
      <c r="A45" s="7" t="n">
        <v>2</v>
      </c>
      <c r="B45" s="8" t="inlineStr">
        <is>
          <t>Open the same route as Agriculturist</t>
        </is>
      </c>
      <c r="C45" s="8" t="inlineStr">
        <is>
          <t>Access refused and the user is redirected</t>
        </is>
      </c>
      <c r="D45" s="8" t="inlineStr">
        <is>
          <t>Agriculturist -&gt; /unauthorized</t>
        </is>
      </c>
      <c r="E45" s="9" t="inlineStr">
        <is>
          <t>Pass</t>
        </is>
      </c>
    </row>
    <row r="46">
      <c r="A46" s="7" t="n">
        <v>3</v>
      </c>
      <c r="B46" s="8" t="inlineStr">
        <is>
          <t>Open the same route as Rice Technician</t>
        </is>
      </c>
      <c r="C46" s="8" t="inlineStr">
        <is>
          <t>Access refused and the user is redirected</t>
        </is>
      </c>
      <c r="D46" s="8" t="inlineStr">
        <is>
          <t>Technician -&gt; /unauthorized</t>
        </is>
      </c>
      <c r="E46" s="9" t="inlineStr">
        <is>
          <t>Pass</t>
        </is>
      </c>
    </row>
    <row r="47">
      <c r="A47" s="7" t="n">
        <v>4</v>
      </c>
      <c r="B47" s="8" t="inlineStr">
        <is>
          <t>Inspect the navigation sidebar under each role</t>
        </is>
      </c>
      <c r="C47" s="8" t="inlineStr">
        <is>
          <t>Only the modules listed in Table 19 are presented for that role</t>
        </is>
      </c>
      <c r="D47" s="8" t="inlineStr">
        <is>
          <t>Agri: Monitor/Map/Compare/Reports; Tech: Monitor/Map/Reports; no admin link</t>
        </is>
      </c>
      <c r="E47" s="9" t="inlineStr">
        <is>
          <t>Pass</t>
        </is>
      </c>
    </row>
    <row r="48">
      <c r="A48" s="7" t="n">
        <v>5</v>
      </c>
      <c r="B48" s="8" t="inlineStr">
        <is>
          <t>Create an account with a role and municipality</t>
        </is>
      </c>
      <c r="C48" s="8" t="inlineStr">
        <is>
          <t>Account created and appears in the list with assigned values</t>
        </is>
      </c>
      <c r="D48" s="8" t="inlineStr">
        <is>
          <t>Created qa_test (Agriculturist, City of Calamba); list showed 4 users</t>
        </is>
      </c>
      <c r="E48" s="9" t="inlineStr">
        <is>
          <t>Pass</t>
        </is>
      </c>
    </row>
    <row r="49">
      <c r="A49" s="7" t="n">
        <v>6</v>
      </c>
      <c r="B49" s="8" t="inlineStr">
        <is>
          <t>Create an account using an existing username</t>
        </is>
      </c>
      <c r="C49" s="8" t="inlineStr">
        <is>
          <t>Creation refused with a duplicate-username message</t>
        </is>
      </c>
      <c r="D49" s="8" t="inlineStr">
        <is>
          <t>HTTP 409 'That username is already taken.'</t>
        </is>
      </c>
      <c r="E49" s="9" t="inlineStr">
        <is>
          <t>Pass</t>
        </is>
      </c>
    </row>
    <row r="50">
      <c r="A50" s="7" t="n">
        <v>7</v>
      </c>
      <c r="B50" s="8" t="inlineStr">
        <is>
          <t>Edit an account's name, role, or municipality</t>
        </is>
      </c>
      <c r="C50" s="8" t="inlineStr">
        <is>
          <t>Changes saved and reflected in the list</t>
        </is>
      </c>
      <c r="D50" s="8" t="inlineStr">
        <is>
          <t>Role -&gt; rice_technician, renamed; saved (HTTP 200, reflected)</t>
        </is>
      </c>
      <c r="E50" s="9" t="inlineStr">
        <is>
          <t>Pass</t>
        </is>
      </c>
    </row>
    <row r="51">
      <c r="A51" s="7" t="n">
        <v>8</v>
      </c>
      <c r="B51" s="8" t="inlineStr">
        <is>
          <t>Change an account's status</t>
        </is>
      </c>
      <c r="C51" s="8" t="inlineStr">
        <is>
          <t>New status saved and displayed</t>
        </is>
      </c>
      <c r="D51" s="8" t="inlineStr">
        <is>
          <t>Inactive then Active saved (HTTP 200, reflected)</t>
        </is>
      </c>
      <c r="E51" s="9" t="inlineStr">
        <is>
          <t>Pass</t>
        </is>
      </c>
    </row>
    <row r="52">
      <c r="A52" s="7" t="n">
        <v>9</v>
      </c>
      <c r="B52" s="8" t="inlineStr">
        <is>
          <t>Delete an account</t>
        </is>
      </c>
      <c r="C52" s="8" t="inlineStr">
        <is>
          <t>Account removed and can no longer authenticate</t>
        </is>
      </c>
      <c r="D52" s="8" t="inlineStr">
        <is>
          <t>Deleted qa_test (200); removed from list; login now 401</t>
        </is>
      </c>
      <c r="E52" s="9" t="inlineStr">
        <is>
          <t>Pass</t>
        </is>
      </c>
    </row>
    <row r="53">
      <c r="A53" s="7" t="n">
        <v>10</v>
      </c>
      <c r="B53" s="8" t="inlineStr">
        <is>
          <t>Call an administrator endpoint with no token</t>
        </is>
      </c>
      <c r="C53" s="8" t="inlineStr">
        <is>
          <t>Request refused by the server</t>
        </is>
      </c>
      <c r="D53" s="8" t="inlineStr">
        <is>
          <t>GET /api/users no token -&gt; 401</t>
        </is>
      </c>
      <c r="E53" s="9" t="inlineStr">
        <is>
          <t>Pass</t>
        </is>
      </c>
    </row>
    <row r="54">
      <c r="A54" s="7" t="n">
        <v>11</v>
      </c>
      <c r="B54" s="8" t="inlineStr">
        <is>
          <t>Call an administrator endpoint with a non-administrator token</t>
        </is>
      </c>
      <c r="C54" s="8" t="inlineStr">
        <is>
          <t>Request refused with an authorization error</t>
        </is>
      </c>
      <c r="D54" s="8" t="inlineStr">
        <is>
          <t>Agriculturist token -&gt; 403 'Administrator access required.'</t>
        </is>
      </c>
      <c r="E54" s="9" t="inlineStr">
        <is>
          <t>Pass</t>
        </is>
      </c>
    </row>
    <row r="55">
      <c r="A55" s="7" t="n">
        <v>12</v>
      </c>
      <c r="B55" s="8" t="inlineStr">
        <is>
          <t>Call a protected endpoint with an expired token</t>
        </is>
      </c>
      <c r="C55" s="8" t="inlineStr">
        <is>
          <t>Request refused and user returned to Portal Access</t>
        </is>
      </c>
      <c r="D55" s="8" t="inlineStr">
        <is>
          <t>Invalid/expired token -&gt; 422 refused; app clears session to Portal Access</t>
        </is>
      </c>
      <c r="E55" s="9" t="inlineStr">
        <is>
          <t>Pass</t>
        </is>
      </c>
    </row>
  </sheetData>
  <mergeCells count="6">
    <mergeCell ref="A43:E43"/>
    <mergeCell ref="A2:E2"/>
    <mergeCell ref="A1:E1"/>
    <mergeCell ref="A5:E5"/>
    <mergeCell ref="A31:E31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11" customWidth="1" min="4" max="4"/>
    <col width="11" customWidth="1" min="5" max="5"/>
    <col width="4" customWidth="1" min="6" max="6"/>
  </cols>
  <sheetData>
    <row r="1">
      <c r="A1" s="1" t="inlineStr">
        <is>
          <t>Table 30 — Summary of Functional Testing Results by Module</t>
        </is>
      </c>
    </row>
    <row r="3">
      <c r="A3" s="3" t="inlineStr">
        <is>
          <t>Module(s)</t>
        </is>
      </c>
      <c r="B3" s="3" t="inlineStr">
        <is>
          <t>Test Cases</t>
        </is>
      </c>
      <c r="C3" s="3" t="inlineStr">
        <is>
          <t>Passed</t>
        </is>
      </c>
      <c r="D3" s="3" t="inlineStr">
        <is>
          <t>Reconcile</t>
        </is>
      </c>
      <c r="E3" s="3" t="inlineStr">
        <is>
          <t>Pass Rate</t>
        </is>
      </c>
      <c r="F3" s="3" t="inlineStr"/>
    </row>
    <row r="4">
      <c r="A4" s="11" t="inlineStr">
        <is>
          <t>Modules 1 &amp; 2 — Home &amp; Monitoring</t>
        </is>
      </c>
      <c r="B4" s="7" t="n">
        <v>11</v>
      </c>
      <c r="C4" s="7" t="n">
        <v>11</v>
      </c>
      <c r="D4" s="7" t="n">
        <v>0</v>
      </c>
      <c r="E4" s="12">
        <f>C4/B4</f>
        <v/>
      </c>
    </row>
    <row r="5">
      <c r="A5" s="11" t="inlineStr">
        <is>
          <t>Module 3 — Spatial GIS</t>
        </is>
      </c>
      <c r="B5" s="7" t="n">
        <v>13</v>
      </c>
      <c r="C5" s="7" t="n">
        <v>13</v>
      </c>
      <c r="D5" s="7" t="n">
        <v>0</v>
      </c>
      <c r="E5" s="12">
        <f>C5/B5</f>
        <v/>
      </c>
    </row>
    <row r="6">
      <c r="A6" s="11" t="inlineStr">
        <is>
          <t>Modules 4 &amp; 5 — Analytics &amp; Reports</t>
        </is>
      </c>
      <c r="B6" s="7" t="n">
        <v>11</v>
      </c>
      <c r="C6" s="7" t="n">
        <v>10</v>
      </c>
      <c r="D6" s="7" t="n">
        <v>1</v>
      </c>
      <c r="E6" s="12">
        <f>C6/B6</f>
        <v/>
      </c>
    </row>
    <row r="7">
      <c r="A7" s="11" t="inlineStr">
        <is>
          <t>Module 6 &amp; Access Control</t>
        </is>
      </c>
      <c r="B7" s="7" t="n">
        <v>12</v>
      </c>
      <c r="C7" s="7" t="n">
        <v>12</v>
      </c>
      <c r="D7" s="7" t="n">
        <v>0</v>
      </c>
      <c r="E7" s="12">
        <f>C7/B7</f>
        <v/>
      </c>
    </row>
    <row r="8">
      <c r="A8" s="13" t="inlineStr">
        <is>
          <t>Total</t>
        </is>
      </c>
      <c r="B8" s="14">
        <f>SUM(B4:B7)</f>
        <v/>
      </c>
      <c r="C8" s="14">
        <f>SUM(C4:C7)</f>
        <v/>
      </c>
      <c r="D8" s="14">
        <f>SUM(D4:D7)</f>
        <v/>
      </c>
      <c r="E8" s="15">
        <f>C8/B8</f>
        <v/>
      </c>
    </row>
    <row r="10">
      <c r="A10" s="2" t="inlineStr">
        <is>
          <t>47 cases executed: 46 Pass, 1 Reconcile (Table 23 #3 — app MAE 0.379 vs paper Objective 1 0.395).</t>
        </is>
      </c>
    </row>
  </sheetData>
  <mergeCells count="2"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2026-09-25T14:18:16Z</dcterms:created>
  <dcterms:modified xmlns:dcterms="http://purl.org/dc/terms/" xmlns:xsi="http://www.w3.org/2001/XMLSchema-instance" xsi:type="dcterms:W3CDTF">2026-09-25T14:18:16Z</dcterms:modified>
</cp:coreProperties>
</file>