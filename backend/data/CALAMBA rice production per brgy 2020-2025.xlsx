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98C4B5F7-0C61-234E-8FAB-B3F06987B0FB}" xr6:coauthVersionLast="47" xr6:coauthVersionMax="47" xr10:uidLastSave="{00000000-0000-0000-0000-000000000000}"/>
  <bookViews>
    <workbookView xWindow="0" yWindow="0" windowWidth="13920" windowHeight="12210" xr2:uid="{00000000-000D-0000-FFFF-FFFF00000000}"/>
  </bookViews>
  <sheets>
    <sheet name="harvesting calamba cons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E18" i="1"/>
  <c r="F18" i="1"/>
  <c r="D18" i="1"/>
  <c r="B18" i="1"/>
  <c r="C18" i="1"/>
  <c r="O13" i="1"/>
  <c r="O14" i="1"/>
  <c r="O15" i="1"/>
  <c r="O16" i="1"/>
  <c r="O17" i="1"/>
  <c r="O12" i="1"/>
  <c r="O5" i="1"/>
  <c r="O6" i="1"/>
  <c r="O7" i="1"/>
  <c r="O8" i="1"/>
  <c r="O9" i="1"/>
  <c r="O10" i="1"/>
  <c r="O4" i="1"/>
  <c r="P18" i="1"/>
  <c r="N18" i="1"/>
  <c r="O18" i="1"/>
  <c r="AJ16" i="1"/>
  <c r="AJ17" i="1"/>
  <c r="AJ15" i="1"/>
  <c r="AJ12" i="1"/>
  <c r="AJ10" i="1"/>
  <c r="AJ7" i="1"/>
  <c r="AJ5" i="1"/>
  <c r="AE18" i="1"/>
  <c r="AC18" i="1"/>
  <c r="AD13" i="1"/>
  <c r="AD14" i="1"/>
  <c r="AD15" i="1"/>
  <c r="AD16" i="1"/>
  <c r="AD17" i="1"/>
  <c r="AD12" i="1"/>
  <c r="AD8" i="1"/>
  <c r="AD9" i="1"/>
  <c r="AD10" i="1"/>
  <c r="AD7" i="1"/>
  <c r="AD5" i="1"/>
  <c r="AD4" i="1"/>
  <c r="AD18" i="1"/>
  <c r="AK18" i="1"/>
  <c r="AI18" i="1"/>
  <c r="AJ18" i="1"/>
  <c r="AH18" i="1"/>
  <c r="AF18" i="1"/>
  <c r="AG18" i="1"/>
  <c r="AG17" i="1"/>
  <c r="AG16" i="1"/>
  <c r="AG15" i="1"/>
  <c r="AG13" i="1"/>
  <c r="AG12" i="1"/>
  <c r="AG10" i="1"/>
  <c r="AG9" i="1"/>
  <c r="AG8" i="1"/>
  <c r="AG7" i="1"/>
  <c r="AG5" i="1"/>
  <c r="AA13" i="1"/>
  <c r="AA14" i="1"/>
  <c r="AA15" i="1"/>
  <c r="AA16" i="1"/>
  <c r="AA17" i="1"/>
  <c r="AA12" i="1"/>
  <c r="AA5" i="1"/>
  <c r="AA6" i="1"/>
  <c r="AA7" i="1"/>
  <c r="AA8" i="1"/>
  <c r="AA9" i="1"/>
  <c r="AA10" i="1"/>
  <c r="AA4" i="1"/>
  <c r="AB18" i="1"/>
  <c r="Z18" i="1"/>
  <c r="AA18" i="1"/>
  <c r="X15" i="1"/>
  <c r="X16" i="1"/>
  <c r="X17" i="1"/>
  <c r="X14" i="1"/>
  <c r="X12" i="1"/>
  <c r="X5" i="1"/>
  <c r="X6" i="1"/>
  <c r="X7" i="1"/>
  <c r="X8" i="1"/>
  <c r="X9" i="1"/>
  <c r="X10" i="1"/>
  <c r="X4" i="1"/>
  <c r="Y18" i="1"/>
  <c r="W18" i="1"/>
  <c r="X18" i="1"/>
  <c r="U5" i="1"/>
  <c r="U7" i="1"/>
  <c r="U8" i="1"/>
  <c r="U9" i="1"/>
  <c r="U10" i="1"/>
  <c r="U12" i="1"/>
  <c r="U13" i="1"/>
  <c r="U14" i="1"/>
  <c r="U15" i="1"/>
  <c r="U16" i="1"/>
  <c r="U17" i="1"/>
  <c r="U4" i="1"/>
  <c r="V18" i="1"/>
  <c r="T18" i="1"/>
  <c r="U18" i="1"/>
  <c r="R5" i="1"/>
  <c r="R6" i="1"/>
  <c r="R7" i="1"/>
  <c r="R8" i="1"/>
  <c r="R9" i="1"/>
  <c r="R10" i="1"/>
  <c r="R12" i="1"/>
  <c r="R14" i="1"/>
  <c r="R15" i="1"/>
  <c r="R16" i="1"/>
  <c r="R17" i="1"/>
  <c r="R4" i="1"/>
  <c r="S18" i="1"/>
  <c r="Q18" i="1"/>
  <c r="R18" i="1"/>
  <c r="L5" i="1"/>
  <c r="L6" i="1"/>
  <c r="L7" i="1"/>
  <c r="L8" i="1"/>
  <c r="L9" i="1"/>
  <c r="L10" i="1"/>
  <c r="L12" i="1"/>
  <c r="L13" i="1"/>
  <c r="L16" i="1"/>
  <c r="L17" i="1"/>
  <c r="M18" i="1"/>
  <c r="K18" i="1"/>
  <c r="L18" i="1"/>
  <c r="J18" i="1"/>
  <c r="H18" i="1"/>
  <c r="I18" i="1"/>
  <c r="I13" i="1"/>
  <c r="I14" i="1"/>
  <c r="I15" i="1"/>
  <c r="I16" i="1"/>
  <c r="I17" i="1"/>
  <c r="I12" i="1"/>
  <c r="I5" i="1"/>
  <c r="I6" i="1"/>
  <c r="I7" i="1"/>
  <c r="I8" i="1"/>
  <c r="I9" i="1"/>
  <c r="I10" i="1"/>
  <c r="I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4" i="1"/>
  <c r="F5" i="1"/>
  <c r="F6" i="1"/>
  <c r="F7" i="1"/>
  <c r="F8" i="1"/>
  <c r="F9" i="1"/>
  <c r="F10" i="1"/>
  <c r="F11" i="1"/>
  <c r="F12" i="1"/>
  <c r="F14" i="1"/>
  <c r="F15" i="1"/>
  <c r="F16" i="1"/>
  <c r="F17" i="1"/>
  <c r="F4" i="1"/>
</calcChain>
</file>

<file path=xl/sharedStrings.xml><?xml version="1.0" encoding="utf-8"?>
<sst xmlns="http://schemas.openxmlformats.org/spreadsheetml/2006/main" count="64" uniqueCount="31">
  <si>
    <t>Harvest Area (Ha.)</t>
  </si>
  <si>
    <t>Average Yield (MT./Ha.)</t>
  </si>
  <si>
    <t>Production               (MT)</t>
  </si>
  <si>
    <t>BAÑADERO</t>
  </si>
  <si>
    <t>BANLIC A</t>
  </si>
  <si>
    <t>BANLIC B</t>
  </si>
  <si>
    <t>BARANGAY VII</t>
  </si>
  <si>
    <t>BUCAL</t>
  </si>
  <si>
    <t>HALANG</t>
  </si>
  <si>
    <t>LECHERIA A</t>
  </si>
  <si>
    <t>LECHERIA B</t>
  </si>
  <si>
    <t>LINGGA</t>
  </si>
  <si>
    <t>PANSOL</t>
  </si>
  <si>
    <t>PARIAN</t>
  </si>
  <si>
    <t>REAL</t>
  </si>
  <si>
    <t>SAN JOSE</t>
  </si>
  <si>
    <t>UWISAN</t>
  </si>
  <si>
    <t>TOTAL</t>
  </si>
  <si>
    <t>DRY SEASON 2020</t>
  </si>
  <si>
    <t>Location  (Barangay)</t>
  </si>
  <si>
    <t>WET SEASON 2020</t>
  </si>
  <si>
    <t>DRY SEASON 2021</t>
  </si>
  <si>
    <t>WET SEASON 2021</t>
  </si>
  <si>
    <t>DRY SEASON 2022</t>
  </si>
  <si>
    <t>WET SEASON 2022</t>
  </si>
  <si>
    <t>DRY SEASON 2023</t>
  </si>
  <si>
    <t>WET SEASON 2023</t>
  </si>
  <si>
    <t>DRY SEASON 2024</t>
  </si>
  <si>
    <t>WET SEASON 2024</t>
  </si>
  <si>
    <t>DRY SEASON 2025</t>
  </si>
  <si>
    <t>WET SEASON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</si>
</sst>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7">
    <xf numFmtId="0" fontId="0" fillId="0" borderId="0" xfId="0"/>
    <xf numFmtId="2" fontId="2" fillId="0" borderId="2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2" xfId="0" applyNumberFormat="1" applyFont="1" applyFill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4" fillId="0" borderId="2" xfId="1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2" fillId="0" borderId="2" xfId="0" applyNumberFormat="1" applyFont="1" applyFill="1" applyBorder="1" applyAlignment="1">
      <alignment horizontal="center" vertical="center" wrapText="1"/>
    </xf>
    <xf numFmtId="2" fontId="2" fillId="0" borderId="2" xfId="1" applyNumberFormat="1" applyFont="1" applyFill="1" applyBorder="1" applyAlignment="1">
      <alignment horizontal="center" vertical="center"/>
    </xf>
    <xf numFmtId="2" fontId="2" fillId="0" borderId="2" xfId="1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2" fillId="0" borderId="1" xfId="1" applyNumberFormat="1" applyFont="1" applyFill="1" applyBorder="1" applyAlignment="1">
      <alignment horizontal="center"/>
    </xf>
    <xf numFmtId="2" fontId="4" fillId="0" borderId="0" xfId="1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3" fillId="0" borderId="0" xfId="0" applyNumberFormat="1" applyFont="1" applyBorder="1"/>
    <xf numFmtId="2" fontId="5" fillId="0" borderId="0" xfId="0" applyNumberFormat="1" applyFont="1" applyBorder="1"/>
    <xf numFmtId="2" fontId="3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/>
    <xf numFmtId="2" fontId="3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/>
    <xf numFmtId="2" fontId="3" fillId="0" borderId="2" xfId="0" applyNumberFormat="1" applyFont="1" applyBorder="1"/>
    <xf numFmtId="2" fontId="4" fillId="0" borderId="2" xfId="1" applyNumberFormat="1" applyFont="1" applyBorder="1" applyAlignment="1">
      <alignment horizontal="left"/>
    </xf>
    <xf numFmtId="2" fontId="4" fillId="0" borderId="2" xfId="1" applyNumberFormat="1" applyFont="1" applyBorder="1" applyAlignment="1"/>
    <xf numFmtId="2" fontId="2" fillId="0" borderId="2" xfId="1" applyNumberFormat="1" applyFont="1" applyBorder="1" applyAlignment="1">
      <alignment horizontal="left"/>
    </xf>
    <xf numFmtId="2" fontId="7" fillId="0" borderId="0" xfId="0" applyNumberFormat="1" applyFont="1"/>
    <xf numFmtId="2" fontId="2" fillId="0" borderId="0" xfId="0" applyNumberFormat="1" applyFont="1"/>
    <xf numFmtId="2" fontId="5" fillId="0" borderId="2" xfId="0" applyNumberFormat="1" applyFont="1" applyBorder="1"/>
    <xf numFmtId="2" fontId="3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wrapText="1"/>
    </xf>
    <xf numFmtId="2" fontId="2" fillId="0" borderId="0" xfId="0" applyNumberFormat="1" applyFont="1" applyBorder="1"/>
    <xf numFmtId="2" fontId="8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/>
    <xf numFmtId="2" fontId="6" fillId="0" borderId="0" xfId="0" applyNumberFormat="1" applyFont="1" applyBorder="1"/>
    <xf numFmtId="2" fontId="5" fillId="0" borderId="0" xfId="0" applyNumberFormat="1" applyFont="1" applyBorder="1" applyAlignment="1">
      <alignment wrapText="1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2" fontId="2" fillId="0" borderId="5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left" wrapText="1"/>
    </xf>
    <xf numFmtId="2" fontId="3" fillId="0" borderId="0" xfId="0" applyNumberFormat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347"/>
  <sheetViews>
    <sheetView tabSelected="1" zoomScale="87" zoomScaleNormal="87" workbookViewId="0">
      <pane xSplit="1" topLeftCell="J1" activePane="topRight" state="frozen"/>
      <selection pane="topRight" activeCell="AJ30" sqref="AJ30"/>
    </sheetView>
  </sheetViews>
  <sheetFormatPr defaultColWidth="9.14453125" defaultRowHeight="15" x14ac:dyDescent="0.2"/>
  <cols>
    <col min="1" max="1" width="15.19921875" style="25" bestFit="1" customWidth="1"/>
    <col min="2" max="2" width="10.76171875" style="25" bestFit="1" customWidth="1"/>
    <col min="3" max="3" width="13.85546875" style="25" bestFit="1" customWidth="1"/>
    <col min="4" max="4" width="11.1640625" style="25" bestFit="1" customWidth="1"/>
    <col min="5" max="5" width="10.76171875" style="25" bestFit="1" customWidth="1"/>
    <col min="6" max="6" width="13.85546875" style="25" bestFit="1" customWidth="1"/>
    <col min="7" max="7" width="11.1640625" style="25" bestFit="1" customWidth="1"/>
    <col min="8" max="8" width="10.76171875" style="25" bestFit="1" customWidth="1"/>
    <col min="9" max="9" width="13.85546875" style="25" bestFit="1" customWidth="1"/>
    <col min="10" max="10" width="11.1640625" style="25" bestFit="1" customWidth="1"/>
    <col min="11" max="11" width="10.76171875" style="25" bestFit="1" customWidth="1"/>
    <col min="12" max="12" width="13.85546875" style="25" bestFit="1" customWidth="1"/>
    <col min="13" max="13" width="11.1640625" style="25" bestFit="1" customWidth="1"/>
    <col min="14" max="14" width="10.76171875" style="25" bestFit="1" customWidth="1"/>
    <col min="15" max="15" width="13.85546875" style="25" bestFit="1" customWidth="1"/>
    <col min="16" max="16" width="11.1640625" style="25" bestFit="1" customWidth="1"/>
    <col min="17" max="17" width="10.76171875" style="25" bestFit="1" customWidth="1"/>
    <col min="18" max="18" width="13.85546875" style="25" bestFit="1" customWidth="1"/>
    <col min="19" max="19" width="11.1640625" style="25" bestFit="1" customWidth="1"/>
    <col min="20" max="20" width="10.76171875" style="25" bestFit="1" customWidth="1"/>
    <col min="21" max="21" width="13.85546875" style="25" bestFit="1" customWidth="1"/>
    <col min="22" max="22" width="11.1640625" style="25" bestFit="1" customWidth="1"/>
    <col min="23" max="23" width="10.76171875" style="25" bestFit="1" customWidth="1"/>
    <col min="24" max="24" width="13.85546875" style="25" bestFit="1" customWidth="1"/>
    <col min="25" max="25" width="11.1640625" style="25" bestFit="1" customWidth="1"/>
    <col min="26" max="26" width="10.76171875" style="25" bestFit="1" customWidth="1"/>
    <col min="27" max="27" width="13.85546875" style="25" bestFit="1" customWidth="1"/>
    <col min="28" max="28" width="11.1640625" style="25" bestFit="1" customWidth="1"/>
    <col min="29" max="29" width="10.76171875" style="25" bestFit="1" customWidth="1"/>
    <col min="30" max="30" width="13.85546875" style="25" bestFit="1" customWidth="1"/>
    <col min="31" max="31" width="11.1640625" style="25" bestFit="1" customWidth="1"/>
    <col min="32" max="32" width="10.76171875" style="25" bestFit="1" customWidth="1"/>
    <col min="33" max="33" width="13.85546875" style="25" bestFit="1" customWidth="1"/>
    <col min="34" max="34" width="11.1640625" style="25" bestFit="1" customWidth="1"/>
    <col min="35" max="35" width="10.76171875" style="25" bestFit="1" customWidth="1"/>
    <col min="36" max="36" width="13.85546875" style="25" bestFit="1" customWidth="1"/>
    <col min="37" max="37" width="11.1640625" style="25" bestFit="1" customWidth="1"/>
    <col min="38" max="16384" width="9.14453125" style="25"/>
  </cols>
  <sheetData>
    <row r="2" spans="1:37" x14ac:dyDescent="0.2">
      <c r="A2" s="24"/>
      <c r="B2" s="53" t="s">
        <v>18</v>
      </c>
      <c r="C2" s="53"/>
      <c r="D2" s="53"/>
      <c r="E2" s="53" t="s">
        <v>20</v>
      </c>
      <c r="F2" s="53"/>
      <c r="G2" s="53"/>
      <c r="H2" s="53" t="s">
        <v>21</v>
      </c>
      <c r="I2" s="53"/>
      <c r="J2" s="53"/>
      <c r="K2" s="53" t="s">
        <v>22</v>
      </c>
      <c r="L2" s="53"/>
      <c r="M2" s="53"/>
      <c r="N2" s="53" t="s">
        <v>23</v>
      </c>
      <c r="O2" s="53"/>
      <c r="P2" s="53"/>
      <c r="Q2" s="53" t="s">
        <v>24</v>
      </c>
      <c r="R2" s="53"/>
      <c r="S2" s="53"/>
      <c r="T2" s="53" t="s">
        <v>25</v>
      </c>
      <c r="U2" s="53"/>
      <c r="V2" s="53"/>
      <c r="W2" s="53" t="s">
        <v>26</v>
      </c>
      <c r="X2" s="53"/>
      <c r="Y2" s="53"/>
      <c r="Z2" s="53" t="s">
        <v>27</v>
      </c>
      <c r="AA2" s="53"/>
      <c r="AB2" s="53"/>
      <c r="AC2" s="53" t="s">
        <v>28</v>
      </c>
      <c r="AD2" s="53"/>
      <c r="AE2" s="53"/>
      <c r="AF2" s="53" t="s">
        <v>29</v>
      </c>
      <c r="AG2" s="53"/>
      <c r="AH2" s="53"/>
      <c r="AI2" s="53" t="s">
        <v>30</v>
      </c>
      <c r="AJ2" s="53"/>
      <c r="AK2" s="53"/>
    </row>
    <row r="3" spans="1:37" ht="40.5" customHeight="1" x14ac:dyDescent="0.2">
      <c r="A3" s="10" t="s">
        <v>19</v>
      </c>
      <c r="B3" s="26" t="s">
        <v>0</v>
      </c>
      <c r="C3" s="26" t="s">
        <v>1</v>
      </c>
      <c r="D3" s="26" t="s">
        <v>2</v>
      </c>
      <c r="E3" s="26" t="s">
        <v>0</v>
      </c>
      <c r="F3" s="26" t="s">
        <v>1</v>
      </c>
      <c r="G3" s="26" t="s">
        <v>2</v>
      </c>
      <c r="H3" s="26" t="s">
        <v>0</v>
      </c>
      <c r="I3" s="26" t="s">
        <v>1</v>
      </c>
      <c r="J3" s="26" t="s">
        <v>2</v>
      </c>
      <c r="K3" s="26" t="s">
        <v>0</v>
      </c>
      <c r="L3" s="26" t="s">
        <v>1</v>
      </c>
      <c r="M3" s="26" t="s">
        <v>2</v>
      </c>
      <c r="N3" s="26" t="s">
        <v>0</v>
      </c>
      <c r="O3" s="26" t="s">
        <v>1</v>
      </c>
      <c r="P3" s="26" t="s">
        <v>2</v>
      </c>
      <c r="Q3" s="26" t="s">
        <v>0</v>
      </c>
      <c r="R3" s="26" t="s">
        <v>1</v>
      </c>
      <c r="S3" s="26" t="s">
        <v>2</v>
      </c>
      <c r="T3" s="26" t="s">
        <v>0</v>
      </c>
      <c r="U3" s="26" t="s">
        <v>1</v>
      </c>
      <c r="V3" s="26" t="s">
        <v>2</v>
      </c>
      <c r="W3" s="26" t="s">
        <v>0</v>
      </c>
      <c r="X3" s="26" t="s">
        <v>1</v>
      </c>
      <c r="Y3" s="26" t="s">
        <v>2</v>
      </c>
      <c r="Z3" s="26" t="s">
        <v>0</v>
      </c>
      <c r="AA3" s="26" t="s">
        <v>1</v>
      </c>
      <c r="AB3" s="26" t="s">
        <v>2</v>
      </c>
      <c r="AC3" s="26" t="s">
        <v>0</v>
      </c>
      <c r="AD3" s="26" t="s">
        <v>1</v>
      </c>
      <c r="AE3" s="26" t="s">
        <v>2</v>
      </c>
      <c r="AF3" s="26" t="s">
        <v>0</v>
      </c>
      <c r="AG3" s="26" t="s">
        <v>1</v>
      </c>
      <c r="AH3" s="26" t="s">
        <v>2</v>
      </c>
      <c r="AI3" s="26" t="s">
        <v>0</v>
      </c>
      <c r="AJ3" s="26" t="s">
        <v>1</v>
      </c>
      <c r="AK3" s="26" t="s">
        <v>2</v>
      </c>
    </row>
    <row r="4" spans="1:37" ht="18" customHeight="1" x14ac:dyDescent="0.2">
      <c r="A4" s="27" t="s">
        <v>3</v>
      </c>
      <c r="B4" s="1">
        <v>3</v>
      </c>
      <c r="C4" s="1">
        <f>D4/B4</f>
        <v>5.0266666666666664</v>
      </c>
      <c r="D4" s="2">
        <v>15.08</v>
      </c>
      <c r="E4" s="23">
        <v>39.75</v>
      </c>
      <c r="F4" s="22">
        <f>G4/E4</f>
        <v>1.8900628930817609</v>
      </c>
      <c r="G4" s="3">
        <v>75.13</v>
      </c>
      <c r="H4" s="1">
        <v>5.4</v>
      </c>
      <c r="I4" s="1">
        <f>J4/H4</f>
        <v>5.2796296296296292</v>
      </c>
      <c r="J4" s="1">
        <v>28.51</v>
      </c>
      <c r="K4" s="23"/>
      <c r="L4" s="22"/>
      <c r="M4" s="3"/>
      <c r="N4" s="1">
        <v>5.4</v>
      </c>
      <c r="O4" s="1">
        <f>P4/N4</f>
        <v>5.2796296296296292</v>
      </c>
      <c r="P4" s="2">
        <v>28.51</v>
      </c>
      <c r="Q4" s="23">
        <v>6.3</v>
      </c>
      <c r="R4" s="22">
        <f>S4/Q4</f>
        <v>4.147619047619048</v>
      </c>
      <c r="S4" s="3">
        <v>26.13</v>
      </c>
      <c r="T4" s="1">
        <v>4.0999999999999996</v>
      </c>
      <c r="U4" s="1">
        <f>V4/T4</f>
        <v>5.2731707317073182</v>
      </c>
      <c r="V4" s="1">
        <v>21.62</v>
      </c>
      <c r="W4" s="23">
        <v>4.0999999999999996</v>
      </c>
      <c r="X4" s="22">
        <f>Y4/W4</f>
        <v>4.614634146341464</v>
      </c>
      <c r="Y4" s="3">
        <v>18.920000000000002</v>
      </c>
      <c r="Z4" s="1">
        <v>4.0999999999999996</v>
      </c>
      <c r="AA4" s="1">
        <f>AB4/Z4</f>
        <v>5.0804878048780484</v>
      </c>
      <c r="AB4" s="2">
        <v>20.83</v>
      </c>
      <c r="AC4" s="23">
        <v>2</v>
      </c>
      <c r="AD4" s="22">
        <f>AE4/AC4</f>
        <v>2.36</v>
      </c>
      <c r="AE4" s="3">
        <v>4.72</v>
      </c>
      <c r="AF4" s="23"/>
      <c r="AG4" s="22"/>
      <c r="AH4" s="3"/>
      <c r="AI4" s="23"/>
      <c r="AJ4" s="22"/>
      <c r="AK4" s="3"/>
    </row>
    <row r="5" spans="1:37" ht="18" customHeight="1" x14ac:dyDescent="0.2">
      <c r="A5" s="28" t="s">
        <v>4</v>
      </c>
      <c r="B5" s="4">
        <v>118.76</v>
      </c>
      <c r="C5" s="1">
        <f>D5/B5</f>
        <v>6.1977938699898951</v>
      </c>
      <c r="D5" s="5">
        <v>736.05</v>
      </c>
      <c r="E5" s="6">
        <v>109.21</v>
      </c>
      <c r="F5" s="22">
        <f t="shared" ref="F5:F17" si="0">G5/E5</f>
        <v>4.7619265635015111</v>
      </c>
      <c r="G5" s="6">
        <v>520.04999999999995</v>
      </c>
      <c r="H5" s="4">
        <v>122.36</v>
      </c>
      <c r="I5" s="1">
        <f t="shared" ref="I5:I10" si="1">J5/H5</f>
        <v>5.4421379535796008</v>
      </c>
      <c r="J5" s="4">
        <v>665.9</v>
      </c>
      <c r="K5" s="6">
        <v>122.36</v>
      </c>
      <c r="L5" s="22">
        <f t="shared" ref="L5:L17" si="2">M5/K5</f>
        <v>4.8517489375612941</v>
      </c>
      <c r="M5" s="6">
        <v>593.66</v>
      </c>
      <c r="N5" s="4">
        <v>122.36</v>
      </c>
      <c r="O5" s="1">
        <f t="shared" ref="O5:O10" si="3">P5/N5</f>
        <v>5.4421379535796008</v>
      </c>
      <c r="P5" s="5">
        <v>665.9</v>
      </c>
      <c r="Q5" s="6">
        <v>122.36</v>
      </c>
      <c r="R5" s="22">
        <f t="shared" ref="R5:R17" si="4">S5/Q5</f>
        <v>4.4944426283099057</v>
      </c>
      <c r="S5" s="6">
        <v>549.94000000000005</v>
      </c>
      <c r="T5" s="4">
        <v>105.66</v>
      </c>
      <c r="U5" s="1">
        <f t="shared" ref="U5:U17" si="5">V5/T5</f>
        <v>5.1950596252129468</v>
      </c>
      <c r="V5" s="4">
        <v>548.91</v>
      </c>
      <c r="W5" s="6">
        <v>105.66</v>
      </c>
      <c r="X5" s="22">
        <f t="shared" ref="X5:X10" si="6">Y5/W5</f>
        <v>5.0232822260079502</v>
      </c>
      <c r="Y5" s="6">
        <v>530.76</v>
      </c>
      <c r="Z5" s="4">
        <v>99.67</v>
      </c>
      <c r="AA5" s="1">
        <f t="shared" ref="AA5:AA10" si="7">AB5/Z5</f>
        <v>5.379853516604796</v>
      </c>
      <c r="AB5" s="5">
        <v>536.21</v>
      </c>
      <c r="AC5" s="51">
        <v>75.27</v>
      </c>
      <c r="AD5" s="45">
        <f>AE5/AC5</f>
        <v>4.6434170320180685</v>
      </c>
      <c r="AE5" s="51">
        <v>349.51</v>
      </c>
      <c r="AF5" s="51">
        <v>49.49</v>
      </c>
      <c r="AG5" s="45">
        <f>AH5/AF5</f>
        <v>5.5298040008082445</v>
      </c>
      <c r="AH5" s="51">
        <v>273.67</v>
      </c>
      <c r="AI5" s="51">
        <v>63.24</v>
      </c>
      <c r="AJ5" s="45">
        <f>AK5/AI5</f>
        <v>3.1897533206831117</v>
      </c>
      <c r="AK5" s="51">
        <v>201.72</v>
      </c>
    </row>
    <row r="6" spans="1:37" ht="18" customHeight="1" x14ac:dyDescent="0.2">
      <c r="A6" s="29" t="s">
        <v>5</v>
      </c>
      <c r="B6" s="7">
        <v>30.65</v>
      </c>
      <c r="C6" s="1">
        <f t="shared" ref="C6:C17" si="8">D6/B6</f>
        <v>5.6463295269168032</v>
      </c>
      <c r="D6" s="8">
        <v>173.06</v>
      </c>
      <c r="E6" s="9">
        <v>27.9</v>
      </c>
      <c r="F6" s="22">
        <f t="shared" si="0"/>
        <v>4.6609318996415769</v>
      </c>
      <c r="G6" s="9">
        <v>130.04</v>
      </c>
      <c r="H6" s="7">
        <v>40.049999999999997</v>
      </c>
      <c r="I6" s="1">
        <f t="shared" si="1"/>
        <v>5.3842696629213487</v>
      </c>
      <c r="J6" s="7">
        <v>215.64</v>
      </c>
      <c r="K6" s="9">
        <v>40.049999999999997</v>
      </c>
      <c r="L6" s="22">
        <f t="shared" si="2"/>
        <v>5.0556803995006243</v>
      </c>
      <c r="M6" s="9">
        <v>202.48</v>
      </c>
      <c r="N6" s="7">
        <v>40.049999999999997</v>
      </c>
      <c r="O6" s="1">
        <f t="shared" si="3"/>
        <v>5.3842696629213487</v>
      </c>
      <c r="P6" s="8">
        <v>215.64</v>
      </c>
      <c r="Q6" s="9">
        <v>40.049999999999997</v>
      </c>
      <c r="R6" s="22">
        <f t="shared" si="4"/>
        <v>4.7558052434456934</v>
      </c>
      <c r="S6" s="9">
        <v>190.47</v>
      </c>
      <c r="T6" s="7"/>
      <c r="U6" s="1"/>
      <c r="V6" s="7"/>
      <c r="W6" s="9">
        <v>37.65</v>
      </c>
      <c r="X6" s="22">
        <f t="shared" si="6"/>
        <v>5.040106241699867</v>
      </c>
      <c r="Y6" s="9">
        <v>189.76</v>
      </c>
      <c r="Z6" s="7">
        <v>31.75</v>
      </c>
      <c r="AA6" s="1">
        <f t="shared" si="7"/>
        <v>5.6044094488188971</v>
      </c>
      <c r="AB6" s="8">
        <v>177.94</v>
      </c>
      <c r="AC6" s="52"/>
      <c r="AD6" s="46"/>
      <c r="AE6" s="52"/>
      <c r="AF6" s="52"/>
      <c r="AG6" s="46"/>
      <c r="AH6" s="52"/>
      <c r="AI6" s="52"/>
      <c r="AJ6" s="46"/>
      <c r="AK6" s="52"/>
    </row>
    <row r="7" spans="1:37" ht="18" customHeight="1" x14ac:dyDescent="0.2">
      <c r="A7" s="30" t="s">
        <v>6</v>
      </c>
      <c r="B7" s="7">
        <v>6</v>
      </c>
      <c r="C7" s="1">
        <f t="shared" si="8"/>
        <v>5.3983333333333334</v>
      </c>
      <c r="D7" s="8">
        <v>32.39</v>
      </c>
      <c r="E7" s="9">
        <v>4.4000000000000004</v>
      </c>
      <c r="F7" s="22">
        <f t="shared" si="0"/>
        <v>4.8249999999999993</v>
      </c>
      <c r="G7" s="9">
        <v>21.23</v>
      </c>
      <c r="H7" s="7">
        <v>6</v>
      </c>
      <c r="I7" s="1">
        <f t="shared" si="1"/>
        <v>5.376666666666666</v>
      </c>
      <c r="J7" s="7">
        <v>32.26</v>
      </c>
      <c r="K7" s="9">
        <v>5.2</v>
      </c>
      <c r="L7" s="22">
        <f t="shared" si="2"/>
        <v>5.1884615384615387</v>
      </c>
      <c r="M7" s="9">
        <v>26.98</v>
      </c>
      <c r="N7" s="7">
        <v>6</v>
      </c>
      <c r="O7" s="1">
        <f t="shared" si="3"/>
        <v>5.376666666666666</v>
      </c>
      <c r="P7" s="8">
        <v>32.26</v>
      </c>
      <c r="Q7" s="9">
        <v>4.3</v>
      </c>
      <c r="R7" s="22">
        <f t="shared" si="4"/>
        <v>4.4209302325581401</v>
      </c>
      <c r="S7" s="9">
        <v>19.010000000000002</v>
      </c>
      <c r="T7" s="7">
        <v>7.8</v>
      </c>
      <c r="U7" s="1">
        <f t="shared" si="5"/>
        <v>3.2115384615384617</v>
      </c>
      <c r="V7" s="7">
        <v>25.05</v>
      </c>
      <c r="W7" s="9">
        <v>5.2</v>
      </c>
      <c r="X7" s="22">
        <f t="shared" si="6"/>
        <v>4.171153846153846</v>
      </c>
      <c r="Y7" s="9">
        <v>21.69</v>
      </c>
      <c r="Z7" s="7">
        <v>4.33</v>
      </c>
      <c r="AA7" s="1">
        <f t="shared" si="7"/>
        <v>6.371824480369515</v>
      </c>
      <c r="AB7" s="8">
        <v>27.59</v>
      </c>
      <c r="AC7" s="9">
        <v>5.2</v>
      </c>
      <c r="AD7" s="22">
        <f>AE7/AC7</f>
        <v>4.7865384615384619</v>
      </c>
      <c r="AE7" s="9">
        <v>24.89</v>
      </c>
      <c r="AF7" s="9">
        <v>4.5999999999999996</v>
      </c>
      <c r="AG7" s="22">
        <f>AH7/AF7</f>
        <v>5.4891304347826093</v>
      </c>
      <c r="AH7" s="9">
        <v>25.25</v>
      </c>
      <c r="AI7" s="9">
        <v>3.2</v>
      </c>
      <c r="AJ7" s="22">
        <f>AK7/AI7</f>
        <v>3.2124999999999995</v>
      </c>
      <c r="AK7" s="9">
        <v>10.28</v>
      </c>
    </row>
    <row r="8" spans="1:37" ht="18" customHeight="1" x14ac:dyDescent="0.2">
      <c r="A8" s="31" t="s">
        <v>7</v>
      </c>
      <c r="B8" s="10">
        <v>35.770000000000003</v>
      </c>
      <c r="C8" s="1">
        <f t="shared" si="8"/>
        <v>5.6754263349175282</v>
      </c>
      <c r="D8" s="11">
        <v>203.01</v>
      </c>
      <c r="E8" s="23">
        <v>21.33</v>
      </c>
      <c r="F8" s="23">
        <f t="shared" si="0"/>
        <v>5.0637599624941405</v>
      </c>
      <c r="G8" s="12">
        <v>108.01</v>
      </c>
      <c r="H8" s="10">
        <v>20.8</v>
      </c>
      <c r="I8" s="1">
        <f t="shared" si="1"/>
        <v>6.3072115384615381</v>
      </c>
      <c r="J8" s="10">
        <v>131.19</v>
      </c>
      <c r="K8" s="23">
        <v>3.08</v>
      </c>
      <c r="L8" s="22">
        <f t="shared" si="2"/>
        <v>4.5551948051948052</v>
      </c>
      <c r="M8" s="12">
        <v>14.03</v>
      </c>
      <c r="N8" s="10">
        <v>20.8</v>
      </c>
      <c r="O8" s="1">
        <f t="shared" si="3"/>
        <v>5.6423076923076918</v>
      </c>
      <c r="P8" s="11">
        <v>117.36</v>
      </c>
      <c r="Q8" s="23">
        <v>16.399999999999999</v>
      </c>
      <c r="R8" s="22">
        <f t="shared" si="4"/>
        <v>3.1579268292682929</v>
      </c>
      <c r="S8" s="12">
        <v>51.79</v>
      </c>
      <c r="T8" s="10">
        <v>20.3</v>
      </c>
      <c r="U8" s="1">
        <f t="shared" si="5"/>
        <v>5.3059113300492609</v>
      </c>
      <c r="V8" s="10">
        <v>107.71</v>
      </c>
      <c r="W8" s="23">
        <v>16</v>
      </c>
      <c r="X8" s="22">
        <f t="shared" si="6"/>
        <v>4.9225000000000003</v>
      </c>
      <c r="Y8" s="12">
        <v>78.760000000000005</v>
      </c>
      <c r="Z8" s="10">
        <v>14.2</v>
      </c>
      <c r="AA8" s="1">
        <f t="shared" si="7"/>
        <v>4.982394366197183</v>
      </c>
      <c r="AB8" s="11">
        <v>70.75</v>
      </c>
      <c r="AC8" s="23">
        <v>10.8</v>
      </c>
      <c r="AD8" s="22">
        <f t="shared" ref="AD8:AD10" si="9">AE8/AC8</f>
        <v>4.3574074074074076</v>
      </c>
      <c r="AE8" s="12">
        <v>47.06</v>
      </c>
      <c r="AF8" s="23">
        <v>8.9</v>
      </c>
      <c r="AG8" s="22">
        <f t="shared" ref="AG8:AG10" si="10">AH8/AF8</f>
        <v>5.2146067415730331</v>
      </c>
      <c r="AH8" s="12">
        <v>46.41</v>
      </c>
      <c r="AI8" s="23"/>
      <c r="AJ8" s="22"/>
      <c r="AK8" s="12"/>
    </row>
    <row r="9" spans="1:37" ht="18" customHeight="1" x14ac:dyDescent="0.2">
      <c r="A9" s="28" t="s">
        <v>8</v>
      </c>
      <c r="B9" s="4">
        <v>23.8</v>
      </c>
      <c r="C9" s="1">
        <f t="shared" si="8"/>
        <v>4.2647058823529411</v>
      </c>
      <c r="D9" s="5">
        <v>101.5</v>
      </c>
      <c r="E9" s="3">
        <v>25.43</v>
      </c>
      <c r="F9" s="23">
        <f t="shared" si="0"/>
        <v>3.8124262681871808</v>
      </c>
      <c r="G9" s="3">
        <v>96.95</v>
      </c>
      <c r="H9" s="4">
        <v>24.83</v>
      </c>
      <c r="I9" s="1">
        <f t="shared" si="1"/>
        <v>5.3886427708417246</v>
      </c>
      <c r="J9" s="4">
        <v>133.80000000000001</v>
      </c>
      <c r="K9" s="3">
        <v>1.2</v>
      </c>
      <c r="L9" s="22">
        <f t="shared" si="2"/>
        <v>3.5833333333333335</v>
      </c>
      <c r="M9" s="3">
        <v>4.3</v>
      </c>
      <c r="N9" s="4">
        <v>24.83</v>
      </c>
      <c r="O9" s="1">
        <f t="shared" si="3"/>
        <v>5.3886427708417246</v>
      </c>
      <c r="P9" s="5">
        <v>133.80000000000001</v>
      </c>
      <c r="Q9" s="3">
        <v>16.579999999999998</v>
      </c>
      <c r="R9" s="22">
        <f t="shared" si="4"/>
        <v>1.7310012062726177</v>
      </c>
      <c r="S9" s="3">
        <v>28.7</v>
      </c>
      <c r="T9" s="4">
        <v>29.08</v>
      </c>
      <c r="U9" s="1">
        <f t="shared" si="5"/>
        <v>3.4645804676753786</v>
      </c>
      <c r="V9" s="4">
        <v>100.75</v>
      </c>
      <c r="W9" s="3">
        <v>20.399999999999999</v>
      </c>
      <c r="X9" s="22">
        <f t="shared" si="6"/>
        <v>1.0338235294117648</v>
      </c>
      <c r="Y9" s="3">
        <v>21.09</v>
      </c>
      <c r="Z9" s="4">
        <v>23.23</v>
      </c>
      <c r="AA9" s="1">
        <f t="shared" si="7"/>
        <v>4.8084373654756778</v>
      </c>
      <c r="AB9" s="5">
        <v>111.7</v>
      </c>
      <c r="AC9" s="3">
        <v>26.53</v>
      </c>
      <c r="AD9" s="22">
        <f t="shared" si="9"/>
        <v>4.5736901620806636</v>
      </c>
      <c r="AE9" s="3">
        <v>121.34</v>
      </c>
      <c r="AF9" s="3">
        <v>14.43</v>
      </c>
      <c r="AG9" s="22">
        <f t="shared" si="10"/>
        <v>5.4996534996534994</v>
      </c>
      <c r="AH9" s="3">
        <v>79.36</v>
      </c>
      <c r="AI9" s="3"/>
      <c r="AJ9" s="22"/>
      <c r="AK9" s="3"/>
    </row>
    <row r="10" spans="1:37" ht="18" customHeight="1" x14ac:dyDescent="0.2">
      <c r="A10" s="28" t="s">
        <v>9</v>
      </c>
      <c r="B10" s="4">
        <v>90.55</v>
      </c>
      <c r="C10" s="1">
        <f t="shared" si="8"/>
        <v>5.240750966316952</v>
      </c>
      <c r="D10" s="5">
        <v>474.55</v>
      </c>
      <c r="E10" s="3">
        <v>78.650000000000006</v>
      </c>
      <c r="F10" s="23">
        <f t="shared" si="0"/>
        <v>3.7800381436745072</v>
      </c>
      <c r="G10" s="3">
        <v>297.3</v>
      </c>
      <c r="H10" s="45">
        <v>83.8</v>
      </c>
      <c r="I10" s="49">
        <f t="shared" si="1"/>
        <v>5.0877088305489266</v>
      </c>
      <c r="J10" s="45">
        <v>426.35</v>
      </c>
      <c r="K10" s="47">
        <v>46.3</v>
      </c>
      <c r="L10" s="45">
        <f t="shared" si="2"/>
        <v>2.0723542116630673</v>
      </c>
      <c r="M10" s="47">
        <v>95.95</v>
      </c>
      <c r="N10" s="45">
        <v>83.8</v>
      </c>
      <c r="O10" s="49">
        <f t="shared" si="3"/>
        <v>5.0872315035799529</v>
      </c>
      <c r="P10" s="45">
        <v>426.31</v>
      </c>
      <c r="Q10" s="47">
        <v>79.3</v>
      </c>
      <c r="R10" s="45">
        <f t="shared" si="4"/>
        <v>4.0504413619167714</v>
      </c>
      <c r="S10" s="47">
        <v>321.2</v>
      </c>
      <c r="T10" s="45">
        <v>72.349999999999994</v>
      </c>
      <c r="U10" s="49">
        <f t="shared" si="5"/>
        <v>4.7684865238424328</v>
      </c>
      <c r="V10" s="45">
        <v>345</v>
      </c>
      <c r="W10" s="47">
        <v>57.67</v>
      </c>
      <c r="X10" s="45">
        <f t="shared" si="6"/>
        <v>3.6968961331714927</v>
      </c>
      <c r="Y10" s="47">
        <v>213.2</v>
      </c>
      <c r="Z10" s="45">
        <v>70.400000000000006</v>
      </c>
      <c r="AA10" s="49">
        <f t="shared" si="7"/>
        <v>5.2774147727272718</v>
      </c>
      <c r="AB10" s="45">
        <v>371.53</v>
      </c>
      <c r="AC10" s="47">
        <v>70.63</v>
      </c>
      <c r="AD10" s="45">
        <f t="shared" si="9"/>
        <v>3.7614328189154755</v>
      </c>
      <c r="AE10" s="47">
        <v>265.67</v>
      </c>
      <c r="AF10" s="47">
        <v>76.27</v>
      </c>
      <c r="AG10" s="45">
        <f t="shared" si="10"/>
        <v>5.7687164022551469</v>
      </c>
      <c r="AH10" s="47">
        <v>439.98</v>
      </c>
      <c r="AI10" s="47">
        <v>72.349999999999994</v>
      </c>
      <c r="AJ10" s="45">
        <f>AK10/AI10</f>
        <v>4.2963372494816863</v>
      </c>
      <c r="AK10" s="47">
        <v>310.83999999999997</v>
      </c>
    </row>
    <row r="11" spans="1:37" s="32" customFormat="1" ht="18" customHeight="1" x14ac:dyDescent="0.2">
      <c r="A11" s="28" t="s">
        <v>10</v>
      </c>
      <c r="B11" s="4">
        <v>11.9</v>
      </c>
      <c r="C11" s="1">
        <f t="shared" si="8"/>
        <v>2.7966386554621847</v>
      </c>
      <c r="D11" s="5">
        <v>33.28</v>
      </c>
      <c r="E11" s="3">
        <v>8.5</v>
      </c>
      <c r="F11" s="23">
        <f t="shared" si="0"/>
        <v>3.7823529411764705</v>
      </c>
      <c r="G11" s="23">
        <v>32.15</v>
      </c>
      <c r="H11" s="46"/>
      <c r="I11" s="50"/>
      <c r="J11" s="46"/>
      <c r="K11" s="48"/>
      <c r="L11" s="46"/>
      <c r="M11" s="48"/>
      <c r="N11" s="46"/>
      <c r="O11" s="50"/>
      <c r="P11" s="46"/>
      <c r="Q11" s="48"/>
      <c r="R11" s="46"/>
      <c r="S11" s="48"/>
      <c r="T11" s="46"/>
      <c r="U11" s="50"/>
      <c r="V11" s="46"/>
      <c r="W11" s="48"/>
      <c r="X11" s="46"/>
      <c r="Y11" s="48"/>
      <c r="Z11" s="46"/>
      <c r="AA11" s="50"/>
      <c r="AB11" s="46"/>
      <c r="AC11" s="48"/>
      <c r="AD11" s="46"/>
      <c r="AE11" s="48"/>
      <c r="AF11" s="48"/>
      <c r="AG11" s="46"/>
      <c r="AH11" s="48"/>
      <c r="AI11" s="48"/>
      <c r="AJ11" s="46"/>
      <c r="AK11" s="48"/>
    </row>
    <row r="12" spans="1:37" s="32" customFormat="1" ht="18" customHeight="1" x14ac:dyDescent="0.2">
      <c r="A12" s="29" t="s">
        <v>11</v>
      </c>
      <c r="B12" s="7">
        <v>33.5</v>
      </c>
      <c r="C12" s="1">
        <f t="shared" si="8"/>
        <v>4.9289552238805969</v>
      </c>
      <c r="D12" s="8">
        <v>165.12</v>
      </c>
      <c r="E12" s="13">
        <v>15.4</v>
      </c>
      <c r="F12" s="23">
        <f t="shared" si="0"/>
        <v>4.5564935064935064</v>
      </c>
      <c r="G12" s="23">
        <v>70.17</v>
      </c>
      <c r="H12" s="7">
        <v>37.96</v>
      </c>
      <c r="I12" s="7">
        <f>J12/H12</f>
        <v>5.4934141201264488</v>
      </c>
      <c r="J12" s="7">
        <v>208.53</v>
      </c>
      <c r="K12" s="13">
        <v>12.45</v>
      </c>
      <c r="L12" s="22">
        <f t="shared" si="2"/>
        <v>4.1726907630522092</v>
      </c>
      <c r="M12" s="23">
        <v>51.95</v>
      </c>
      <c r="N12" s="7">
        <v>37.96</v>
      </c>
      <c r="O12" s="1">
        <f>P12/N12</f>
        <v>5.4934141201264488</v>
      </c>
      <c r="P12" s="8">
        <v>208.53</v>
      </c>
      <c r="Q12" s="13">
        <v>37.299999999999997</v>
      </c>
      <c r="R12" s="22">
        <f t="shared" si="4"/>
        <v>4.186058981233244</v>
      </c>
      <c r="S12" s="23">
        <v>156.13999999999999</v>
      </c>
      <c r="T12" s="7">
        <v>32.35</v>
      </c>
      <c r="U12" s="1">
        <f t="shared" si="5"/>
        <v>5.1146831530139103</v>
      </c>
      <c r="V12" s="7">
        <v>165.46</v>
      </c>
      <c r="W12" s="13">
        <v>31.45</v>
      </c>
      <c r="X12" s="23">
        <f>Y12/W12</f>
        <v>4.5100158982511926</v>
      </c>
      <c r="Y12" s="23">
        <v>141.84</v>
      </c>
      <c r="Z12" s="7">
        <v>36.950000000000003</v>
      </c>
      <c r="AA12" s="1">
        <f>AB12/Z12</f>
        <v>4.898782138024357</v>
      </c>
      <c r="AB12" s="8">
        <v>181.01</v>
      </c>
      <c r="AC12" s="13">
        <v>31.8</v>
      </c>
      <c r="AD12" s="23">
        <f>AE12/AC12</f>
        <v>4.4902515723270433</v>
      </c>
      <c r="AE12" s="23">
        <v>142.79</v>
      </c>
      <c r="AF12" s="13">
        <v>35.75</v>
      </c>
      <c r="AG12" s="23">
        <f>AH12/AF12</f>
        <v>5.1781818181818187</v>
      </c>
      <c r="AH12" s="23">
        <v>185.12</v>
      </c>
      <c r="AI12" s="13">
        <v>1</v>
      </c>
      <c r="AJ12" s="23">
        <f>AK12/AI12</f>
        <v>4.7300000000000004</v>
      </c>
      <c r="AK12" s="23">
        <v>4.7300000000000004</v>
      </c>
    </row>
    <row r="13" spans="1:37" ht="18" customHeight="1" x14ac:dyDescent="0.2">
      <c r="A13" s="31" t="s">
        <v>12</v>
      </c>
      <c r="B13" s="14">
        <v>12.5</v>
      </c>
      <c r="C13" s="15">
        <f t="shared" si="8"/>
        <v>5.66</v>
      </c>
      <c r="D13" s="16">
        <v>70.75</v>
      </c>
      <c r="E13" s="23"/>
      <c r="F13" s="23"/>
      <c r="G13" s="23"/>
      <c r="H13" s="14">
        <v>13.6</v>
      </c>
      <c r="I13" s="7">
        <f t="shared" ref="I13:I17" si="11">J13/H13</f>
        <v>5.7279411764705888</v>
      </c>
      <c r="J13" s="14">
        <v>77.900000000000006</v>
      </c>
      <c r="K13" s="23">
        <v>12.3</v>
      </c>
      <c r="L13" s="22">
        <f t="shared" si="2"/>
        <v>3.9788617886178859</v>
      </c>
      <c r="M13" s="23">
        <v>48.94</v>
      </c>
      <c r="N13" s="14">
        <v>13.6</v>
      </c>
      <c r="O13" s="1">
        <f t="shared" ref="O13:O17" si="12">P13/N13</f>
        <v>5.7279411764705888</v>
      </c>
      <c r="P13" s="16">
        <v>77.900000000000006</v>
      </c>
      <c r="Q13" s="23"/>
      <c r="R13" s="22"/>
      <c r="S13" s="23"/>
      <c r="T13" s="14">
        <v>13.4</v>
      </c>
      <c r="U13" s="1">
        <f t="shared" si="5"/>
        <v>4.9597014925373131</v>
      </c>
      <c r="V13" s="14">
        <v>66.459999999999994</v>
      </c>
      <c r="W13" s="23"/>
      <c r="X13" s="23"/>
      <c r="Y13" s="23"/>
      <c r="Z13" s="14">
        <v>13.5</v>
      </c>
      <c r="AA13" s="1">
        <f t="shared" ref="AA13:AA17" si="13">AB13/Z13</f>
        <v>5.2348148148148148</v>
      </c>
      <c r="AB13" s="16">
        <v>70.67</v>
      </c>
      <c r="AC13" s="23">
        <v>5.5</v>
      </c>
      <c r="AD13" s="23">
        <f t="shared" ref="AD13:AD17" si="14">AE13/AC13</f>
        <v>5.2</v>
      </c>
      <c r="AE13" s="23">
        <v>28.6</v>
      </c>
      <c r="AF13" s="23">
        <v>2.5499999999999998</v>
      </c>
      <c r="AG13" s="23">
        <f>AH13/AF13</f>
        <v>5.321568627450981</v>
      </c>
      <c r="AH13" s="23">
        <v>13.57</v>
      </c>
      <c r="AI13" s="23"/>
      <c r="AJ13" s="23"/>
      <c r="AK13" s="23"/>
    </row>
    <row r="14" spans="1:37" ht="18" customHeight="1" x14ac:dyDescent="0.2">
      <c r="A14" s="27" t="s">
        <v>13</v>
      </c>
      <c r="B14" s="4">
        <v>6.2</v>
      </c>
      <c r="C14" s="1">
        <f t="shared" si="8"/>
        <v>4.395161290322581</v>
      </c>
      <c r="D14" s="5">
        <v>27.25</v>
      </c>
      <c r="E14" s="23">
        <v>6.7</v>
      </c>
      <c r="F14" s="23">
        <f t="shared" si="0"/>
        <v>2.1895522388059701</v>
      </c>
      <c r="G14" s="3">
        <v>14.67</v>
      </c>
      <c r="H14" s="4">
        <v>6.2</v>
      </c>
      <c r="I14" s="7">
        <f t="shared" si="11"/>
        <v>5.669354838709677</v>
      </c>
      <c r="J14" s="4">
        <v>35.15</v>
      </c>
      <c r="K14" s="23"/>
      <c r="L14" s="22"/>
      <c r="M14" s="3"/>
      <c r="N14" s="4">
        <v>6.2</v>
      </c>
      <c r="O14" s="1">
        <f t="shared" si="12"/>
        <v>5.669354838709677</v>
      </c>
      <c r="P14" s="5">
        <v>35.15</v>
      </c>
      <c r="Q14" s="23">
        <v>6.2</v>
      </c>
      <c r="R14" s="22">
        <f t="shared" si="4"/>
        <v>4.6790322580645158</v>
      </c>
      <c r="S14" s="3">
        <v>29.01</v>
      </c>
      <c r="T14" s="4">
        <v>5.6</v>
      </c>
      <c r="U14" s="1">
        <f t="shared" si="5"/>
        <v>5.0875000000000004</v>
      </c>
      <c r="V14" s="4">
        <v>28.49</v>
      </c>
      <c r="W14" s="23">
        <v>5.3</v>
      </c>
      <c r="X14" s="23">
        <f>Y14/W14</f>
        <v>4.3188679245283019</v>
      </c>
      <c r="Y14" s="3">
        <v>22.89</v>
      </c>
      <c r="Z14" s="4">
        <v>5.8</v>
      </c>
      <c r="AA14" s="1">
        <f t="shared" si="13"/>
        <v>5.1534482758620692</v>
      </c>
      <c r="AB14" s="5">
        <v>29.89</v>
      </c>
      <c r="AC14" s="23">
        <v>2.2999999999999998</v>
      </c>
      <c r="AD14" s="23">
        <f t="shared" si="14"/>
        <v>3.9826086956521745</v>
      </c>
      <c r="AE14" s="3">
        <v>9.16</v>
      </c>
      <c r="AF14" s="23"/>
      <c r="AG14" s="23"/>
      <c r="AH14" s="3"/>
      <c r="AI14" s="23"/>
      <c r="AJ14" s="23"/>
      <c r="AK14" s="3"/>
    </row>
    <row r="15" spans="1:37" s="33" customFormat="1" ht="18" customHeight="1" x14ac:dyDescent="0.2">
      <c r="A15" s="29" t="s">
        <v>14</v>
      </c>
      <c r="B15" s="17">
        <v>4</v>
      </c>
      <c r="C15" s="1">
        <f t="shared" si="8"/>
        <v>4.72</v>
      </c>
      <c r="D15" s="17">
        <v>18.88</v>
      </c>
      <c r="E15" s="13">
        <v>6.4</v>
      </c>
      <c r="F15" s="23">
        <f t="shared" si="0"/>
        <v>3.2828124999999999</v>
      </c>
      <c r="G15" s="23">
        <v>21.01</v>
      </c>
      <c r="H15" s="7">
        <v>8.8000000000000007</v>
      </c>
      <c r="I15" s="7">
        <f t="shared" si="11"/>
        <v>5.5613636363636356</v>
      </c>
      <c r="J15" s="7">
        <v>48.94</v>
      </c>
      <c r="K15" s="13"/>
      <c r="L15" s="22"/>
      <c r="M15" s="23"/>
      <c r="N15" s="17">
        <v>8.8000000000000007</v>
      </c>
      <c r="O15" s="1">
        <f t="shared" si="12"/>
        <v>5.5613636363636356</v>
      </c>
      <c r="P15" s="17">
        <v>48.94</v>
      </c>
      <c r="Q15" s="13">
        <v>4.5</v>
      </c>
      <c r="R15" s="22">
        <f t="shared" si="4"/>
        <v>4.4622222222222216</v>
      </c>
      <c r="S15" s="23">
        <v>20.079999999999998</v>
      </c>
      <c r="T15" s="7">
        <v>8</v>
      </c>
      <c r="U15" s="1">
        <f t="shared" si="5"/>
        <v>5.3425000000000002</v>
      </c>
      <c r="V15" s="7">
        <v>42.74</v>
      </c>
      <c r="W15" s="13">
        <v>8</v>
      </c>
      <c r="X15" s="23">
        <f t="shared" ref="X15:X17" si="15">Y15/W15</f>
        <v>4.4725000000000001</v>
      </c>
      <c r="Y15" s="23">
        <v>35.78</v>
      </c>
      <c r="Z15" s="17">
        <v>7.2</v>
      </c>
      <c r="AA15" s="1">
        <f t="shared" si="13"/>
        <v>5.3319444444444448</v>
      </c>
      <c r="AB15" s="17">
        <v>38.39</v>
      </c>
      <c r="AC15" s="13">
        <v>8</v>
      </c>
      <c r="AD15" s="23">
        <f t="shared" si="14"/>
        <v>3.6974999999999998</v>
      </c>
      <c r="AE15" s="23">
        <v>29.58</v>
      </c>
      <c r="AF15" s="13">
        <v>4.8</v>
      </c>
      <c r="AG15" s="23">
        <f>AH15/AF15</f>
        <v>5.4854166666666666</v>
      </c>
      <c r="AH15" s="23">
        <v>26.33</v>
      </c>
      <c r="AI15" s="13">
        <v>6.4</v>
      </c>
      <c r="AJ15" s="23">
        <f>AK15/AI15</f>
        <v>1.125</v>
      </c>
      <c r="AK15" s="23">
        <v>7.2</v>
      </c>
    </row>
    <row r="16" spans="1:37" s="32" customFormat="1" ht="18" customHeight="1" x14ac:dyDescent="0.2">
      <c r="A16" s="30" t="s">
        <v>15</v>
      </c>
      <c r="B16" s="7">
        <v>50.38</v>
      </c>
      <c r="C16" s="1">
        <f t="shared" si="8"/>
        <v>5.5353314807463274</v>
      </c>
      <c r="D16" s="8">
        <v>278.87</v>
      </c>
      <c r="E16" s="13">
        <v>29.86</v>
      </c>
      <c r="F16" s="23">
        <f t="shared" si="0"/>
        <v>4.5221031480241125</v>
      </c>
      <c r="G16" s="23">
        <v>135.03</v>
      </c>
      <c r="H16" s="7">
        <v>48.51</v>
      </c>
      <c r="I16" s="7">
        <f t="shared" si="11"/>
        <v>6.3698206555349417</v>
      </c>
      <c r="J16" s="7">
        <v>309</v>
      </c>
      <c r="K16" s="13">
        <v>41.67</v>
      </c>
      <c r="L16" s="22">
        <f t="shared" si="2"/>
        <v>4.5421166306695469</v>
      </c>
      <c r="M16" s="23">
        <v>189.27</v>
      </c>
      <c r="N16" s="7">
        <v>48.51</v>
      </c>
      <c r="O16" s="1">
        <f t="shared" si="12"/>
        <v>6.3698206555349417</v>
      </c>
      <c r="P16" s="8">
        <v>309</v>
      </c>
      <c r="Q16" s="13">
        <v>46.36</v>
      </c>
      <c r="R16" s="22">
        <f t="shared" si="4"/>
        <v>3.2012510785159618</v>
      </c>
      <c r="S16" s="23">
        <v>148.41</v>
      </c>
      <c r="T16" s="7">
        <v>55.61</v>
      </c>
      <c r="U16" s="1">
        <f t="shared" si="5"/>
        <v>4.4326559971228194</v>
      </c>
      <c r="V16" s="7">
        <v>246.5</v>
      </c>
      <c r="W16" s="13">
        <v>46.15</v>
      </c>
      <c r="X16" s="23">
        <f t="shared" si="15"/>
        <v>3.4760563380281688</v>
      </c>
      <c r="Y16" s="23">
        <v>160.41999999999999</v>
      </c>
      <c r="Z16" s="7">
        <v>47.1</v>
      </c>
      <c r="AA16" s="1">
        <f t="shared" si="13"/>
        <v>5.1549893842887471</v>
      </c>
      <c r="AB16" s="8">
        <v>242.8</v>
      </c>
      <c r="AC16" s="13">
        <v>47.11</v>
      </c>
      <c r="AD16" s="23">
        <f t="shared" si="14"/>
        <v>5.0874548928040753</v>
      </c>
      <c r="AE16" s="23">
        <v>239.67</v>
      </c>
      <c r="AF16" s="13">
        <v>44.6</v>
      </c>
      <c r="AG16" s="23">
        <f t="shared" ref="AG16:AG17" si="16">AH16/AF16</f>
        <v>5.0349775784753366</v>
      </c>
      <c r="AH16" s="23">
        <v>224.56</v>
      </c>
      <c r="AI16" s="13">
        <v>2.96</v>
      </c>
      <c r="AJ16" s="23">
        <f t="shared" ref="AJ16:AJ17" si="17">AK16/AI16</f>
        <v>2.4695945945945943</v>
      </c>
      <c r="AK16" s="23">
        <v>7.31</v>
      </c>
    </row>
    <row r="17" spans="1:37" ht="18" customHeight="1" x14ac:dyDescent="0.2">
      <c r="A17" s="28" t="s">
        <v>16</v>
      </c>
      <c r="B17" s="4">
        <v>44.6</v>
      </c>
      <c r="C17" s="1">
        <f t="shared" si="8"/>
        <v>5.5853139013452919</v>
      </c>
      <c r="D17" s="5">
        <v>249.10500000000002</v>
      </c>
      <c r="E17" s="13">
        <v>33.35</v>
      </c>
      <c r="F17" s="23">
        <f t="shared" si="0"/>
        <v>4.2278860569715144</v>
      </c>
      <c r="G17" s="3">
        <v>141</v>
      </c>
      <c r="H17" s="4">
        <v>33.67</v>
      </c>
      <c r="I17" s="7">
        <f t="shared" si="11"/>
        <v>5.7053757053757046</v>
      </c>
      <c r="J17" s="4">
        <v>192.1</v>
      </c>
      <c r="K17" s="13">
        <v>44.6</v>
      </c>
      <c r="L17" s="22">
        <f t="shared" si="2"/>
        <v>4.5204035874439468</v>
      </c>
      <c r="M17" s="3">
        <v>201.61</v>
      </c>
      <c r="N17" s="4">
        <v>33.67</v>
      </c>
      <c r="O17" s="1">
        <f t="shared" si="12"/>
        <v>5.7053757053757046</v>
      </c>
      <c r="P17" s="5">
        <v>192.1</v>
      </c>
      <c r="Q17" s="13">
        <v>33.67</v>
      </c>
      <c r="R17" s="22">
        <f t="shared" si="4"/>
        <v>4.4683694683694677</v>
      </c>
      <c r="S17" s="3">
        <v>150.44999999999999</v>
      </c>
      <c r="T17" s="4">
        <v>26.34</v>
      </c>
      <c r="U17" s="1">
        <f t="shared" si="5"/>
        <v>5.5774487471526193</v>
      </c>
      <c r="V17" s="4">
        <v>146.91</v>
      </c>
      <c r="W17" s="13">
        <v>26.34</v>
      </c>
      <c r="X17" s="23">
        <f t="shared" si="15"/>
        <v>4.7346241457858769</v>
      </c>
      <c r="Y17" s="3">
        <v>124.71</v>
      </c>
      <c r="Z17" s="4">
        <v>18.34</v>
      </c>
      <c r="AA17" s="1">
        <f t="shared" si="13"/>
        <v>5.3713195201744819</v>
      </c>
      <c r="AB17" s="5">
        <v>98.51</v>
      </c>
      <c r="AC17" s="13">
        <v>15.15</v>
      </c>
      <c r="AD17" s="23">
        <f t="shared" si="14"/>
        <v>4.2072607260726071</v>
      </c>
      <c r="AE17" s="3">
        <v>63.74</v>
      </c>
      <c r="AF17" s="13">
        <v>15.38</v>
      </c>
      <c r="AG17" s="23">
        <f t="shared" si="16"/>
        <v>5.2555266579973985</v>
      </c>
      <c r="AH17" s="3">
        <v>80.83</v>
      </c>
      <c r="AI17" s="13">
        <v>12.01</v>
      </c>
      <c r="AJ17" s="23">
        <f t="shared" si="17"/>
        <v>4.5004163197335556</v>
      </c>
      <c r="AK17" s="3">
        <v>54.05</v>
      </c>
    </row>
    <row r="18" spans="1:37" ht="18" customHeight="1" x14ac:dyDescent="0.2">
      <c r="A18" s="34" t="s">
        <v>17</v>
      </c>
      <c r="B18" s="18">
        <f>SUM(B4:B17)</f>
        <v>471.61</v>
      </c>
      <c r="C18" s="18">
        <f>D18/B18</f>
        <v>5.4682788744937554</v>
      </c>
      <c r="D18" s="19">
        <f>SUM(D4:D17)</f>
        <v>2578.895</v>
      </c>
      <c r="E18" s="18">
        <f>SUM(E4:E17)</f>
        <v>406.87999999999994</v>
      </c>
      <c r="F18" s="18">
        <f>G18/E18</f>
        <v>4.0865611482500999</v>
      </c>
      <c r="G18" s="18">
        <f>SUM(G4:G17)</f>
        <v>1662.7400000000002</v>
      </c>
      <c r="H18" s="18">
        <f>SUM(H4:H17)</f>
        <v>451.98</v>
      </c>
      <c r="I18" s="18">
        <f>J18/H18</f>
        <v>5.54287800345148</v>
      </c>
      <c r="J18" s="18">
        <f>SUM(J4:J17)</f>
        <v>2505.27</v>
      </c>
      <c r="K18" s="18">
        <f>SUM(K4:K17)</f>
        <v>329.21000000000004</v>
      </c>
      <c r="L18" s="18">
        <f>M18/K18</f>
        <v>4.341210777315391</v>
      </c>
      <c r="M18" s="18">
        <f>SUM(M4:M17)</f>
        <v>1429.17</v>
      </c>
      <c r="N18" s="18">
        <f>SUM(N4:N17)</f>
        <v>451.98</v>
      </c>
      <c r="O18" s="18">
        <f>P18/N18</f>
        <v>5.5121908049028718</v>
      </c>
      <c r="P18" s="19">
        <f>SUM(P4:P17)</f>
        <v>2491.4</v>
      </c>
      <c r="Q18" s="18">
        <f>SUM(Q4:Q17)</f>
        <v>413.32000000000005</v>
      </c>
      <c r="R18" s="18">
        <f>S18/Q18</f>
        <v>4.0920594212716539</v>
      </c>
      <c r="S18" s="18">
        <f>SUM(S4:S17)</f>
        <v>1691.3300000000002</v>
      </c>
      <c r="T18" s="18">
        <f>SUM(T4:T17)</f>
        <v>380.59</v>
      </c>
      <c r="U18" s="18">
        <f>V18/T18</f>
        <v>4.8493129089045963</v>
      </c>
      <c r="V18" s="18">
        <f>SUM(V4:V17)</f>
        <v>1845.6000000000001</v>
      </c>
      <c r="W18" s="18">
        <f>SUM(W4:W17)</f>
        <v>363.91999999999996</v>
      </c>
      <c r="X18" s="18">
        <f>Y18/W18</f>
        <v>4.2861617938008365</v>
      </c>
      <c r="Y18" s="18">
        <f>SUM(Y4:Y17)</f>
        <v>1559.8200000000002</v>
      </c>
      <c r="Z18" s="18">
        <f>SUM(Z4:Z17)</f>
        <v>376.57</v>
      </c>
      <c r="AA18" s="18">
        <f>AB18/Z18</f>
        <v>5.252197466606475</v>
      </c>
      <c r="AB18" s="19">
        <f>SUM(AB4:AB17)</f>
        <v>1977.8200000000004</v>
      </c>
      <c r="AC18" s="18">
        <f>SUM(AC4:AC17)</f>
        <v>300.29000000000002</v>
      </c>
      <c r="AD18" s="18">
        <f>AE18/AC18</f>
        <v>4.4181624429717941</v>
      </c>
      <c r="AE18" s="18">
        <f>SUM(AE4:AE17)</f>
        <v>1326.73</v>
      </c>
      <c r="AF18" s="18">
        <f>SUM(AF5:AF17)</f>
        <v>256.77000000000004</v>
      </c>
      <c r="AG18" s="18">
        <f>AH18/AF18</f>
        <v>5.4331892355025877</v>
      </c>
      <c r="AH18" s="18">
        <f>SUM(AH5:AH17)</f>
        <v>1395.0799999999997</v>
      </c>
      <c r="AI18" s="18">
        <f>SUM(AI4:AI17)</f>
        <v>161.16</v>
      </c>
      <c r="AJ18" s="18">
        <f>AK18/AI18</f>
        <v>3.6989947877885325</v>
      </c>
      <c r="AK18" s="18">
        <f>SUM(AK4:AK17)</f>
        <v>596.12999999999988</v>
      </c>
    </row>
    <row r="33" spans="1:4" s="20" customFormat="1" x14ac:dyDescent="0.2">
      <c r="A33" s="35"/>
      <c r="B33" s="35"/>
      <c r="C33" s="35"/>
      <c r="D33" s="35"/>
    </row>
    <row r="34" spans="1:4" s="20" customFormat="1" ht="18" customHeight="1" x14ac:dyDescent="0.2">
      <c r="A34" s="35"/>
      <c r="B34" s="36"/>
      <c r="C34" s="36"/>
      <c r="D34" s="36"/>
    </row>
    <row r="35" spans="1:4" s="20" customFormat="1" ht="18" customHeight="1" x14ac:dyDescent="0.2">
      <c r="A35" s="54"/>
      <c r="B35" s="37"/>
      <c r="C35" s="37"/>
      <c r="D35" s="37"/>
    </row>
    <row r="36" spans="1:4" s="20" customFormat="1" x14ac:dyDescent="0.2">
      <c r="A36" s="54"/>
      <c r="B36" s="37"/>
      <c r="C36" s="37"/>
      <c r="D36" s="37"/>
    </row>
    <row r="37" spans="1:4" s="20" customFormat="1" ht="18" customHeight="1" x14ac:dyDescent="0.2">
      <c r="A37" s="54"/>
      <c r="B37" s="38"/>
      <c r="C37" s="38"/>
      <c r="D37" s="38"/>
    </row>
    <row r="38" spans="1:4" s="20" customFormat="1" ht="18" customHeight="1" x14ac:dyDescent="0.2">
      <c r="A38" s="39"/>
      <c r="B38" s="39"/>
      <c r="C38" s="39"/>
      <c r="D38" s="39"/>
    </row>
    <row r="39" spans="1:4" s="20" customFormat="1" ht="18" customHeight="1" x14ac:dyDescent="0.2"/>
    <row r="40" spans="1:4" s="20" customFormat="1" ht="18" customHeight="1" x14ac:dyDescent="0.2">
      <c r="A40" s="40"/>
    </row>
    <row r="41" spans="1:4" s="20" customFormat="1" ht="18" customHeight="1" x14ac:dyDescent="0.2">
      <c r="A41" s="40"/>
    </row>
    <row r="42" spans="1:4" s="20" customFormat="1" ht="18" customHeight="1" x14ac:dyDescent="0.2">
      <c r="A42" s="40"/>
    </row>
    <row r="43" spans="1:4" s="20" customFormat="1" ht="18" customHeight="1" x14ac:dyDescent="0.2">
      <c r="A43" s="40"/>
    </row>
    <row r="44" spans="1:4" s="20" customFormat="1" x14ac:dyDescent="0.2">
      <c r="A44" s="40"/>
    </row>
    <row r="45" spans="1:4" s="20" customFormat="1" ht="18" customHeight="1" x14ac:dyDescent="0.2">
      <c r="A45" s="40"/>
    </row>
    <row r="46" spans="1:4" s="20" customFormat="1" ht="18" customHeight="1" x14ac:dyDescent="0.2">
      <c r="A46" s="40"/>
    </row>
    <row r="47" spans="1:4" s="20" customFormat="1" ht="18" customHeight="1" x14ac:dyDescent="0.2">
      <c r="A47" s="40"/>
    </row>
    <row r="48" spans="1:4" s="20" customFormat="1" ht="18" customHeight="1" x14ac:dyDescent="0.2">
      <c r="A48" s="40"/>
    </row>
    <row r="49" spans="1:4" s="20" customFormat="1" ht="18" customHeight="1" x14ac:dyDescent="0.2">
      <c r="A49" s="40"/>
    </row>
    <row r="50" spans="1:4" s="20" customFormat="1" x14ac:dyDescent="0.2">
      <c r="A50" s="40"/>
    </row>
    <row r="51" spans="1:4" s="20" customFormat="1" x14ac:dyDescent="0.2">
      <c r="A51" s="40"/>
    </row>
    <row r="52" spans="1:4" s="20" customFormat="1" x14ac:dyDescent="0.2"/>
    <row r="53" spans="1:4" s="20" customFormat="1" x14ac:dyDescent="0.2"/>
    <row r="54" spans="1:4" s="20" customFormat="1" x14ac:dyDescent="0.2"/>
    <row r="55" spans="1:4" s="20" customFormat="1" x14ac:dyDescent="0.2">
      <c r="A55" s="21"/>
      <c r="B55" s="21"/>
      <c r="C55" s="21"/>
      <c r="D55" s="21"/>
    </row>
    <row r="56" spans="1:4" s="20" customFormat="1" x14ac:dyDescent="0.2"/>
    <row r="57" spans="1:4" s="20" customFormat="1" x14ac:dyDescent="0.2"/>
    <row r="58" spans="1:4" s="20" customFormat="1" x14ac:dyDescent="0.2"/>
    <row r="59" spans="1:4" s="20" customFormat="1" x14ac:dyDescent="0.2">
      <c r="A59" s="41"/>
    </row>
    <row r="60" spans="1:4" s="20" customFormat="1" x14ac:dyDescent="0.2">
      <c r="A60" s="36"/>
    </row>
    <row r="61" spans="1:4" s="20" customFormat="1" x14ac:dyDescent="0.2"/>
    <row r="62" spans="1:4" s="20" customFormat="1" x14ac:dyDescent="0.2"/>
    <row r="63" spans="1:4" s="20" customFormat="1" x14ac:dyDescent="0.2">
      <c r="A63" s="35"/>
      <c r="B63" s="35"/>
      <c r="C63" s="35"/>
      <c r="D63" s="35"/>
    </row>
    <row r="64" spans="1:4" s="20" customFormat="1" x14ac:dyDescent="0.2">
      <c r="A64" s="35"/>
      <c r="B64" s="35"/>
      <c r="C64" s="35"/>
      <c r="D64" s="35"/>
    </row>
    <row r="65" spans="1:4" s="20" customFormat="1" ht="15" customHeight="1" x14ac:dyDescent="0.2">
      <c r="A65" s="35"/>
      <c r="B65" s="35"/>
      <c r="C65" s="35"/>
      <c r="D65" s="35"/>
    </row>
    <row r="66" spans="1:4" s="20" customFormat="1" ht="58.5" customHeight="1" x14ac:dyDescent="0.2">
      <c r="A66" s="35"/>
      <c r="B66" s="35"/>
      <c r="C66" s="35"/>
      <c r="D66" s="35"/>
    </row>
    <row r="67" spans="1:4" s="20" customFormat="1" x14ac:dyDescent="0.2">
      <c r="A67" s="35"/>
      <c r="B67" s="36"/>
      <c r="C67" s="36"/>
      <c r="D67" s="36"/>
    </row>
    <row r="68" spans="1:4" s="20" customFormat="1" ht="18" customHeight="1" x14ac:dyDescent="0.2"/>
    <row r="69" spans="1:4" s="20" customFormat="1" ht="18" customHeight="1" x14ac:dyDescent="0.2">
      <c r="A69" s="54"/>
      <c r="B69" s="37"/>
      <c r="C69" s="37"/>
      <c r="D69" s="37"/>
    </row>
    <row r="70" spans="1:4" s="20" customFormat="1" x14ac:dyDescent="0.2">
      <c r="A70" s="54"/>
      <c r="B70" s="37"/>
      <c r="C70" s="37"/>
      <c r="D70" s="37"/>
    </row>
    <row r="71" spans="1:4" s="20" customFormat="1" ht="18" customHeight="1" x14ac:dyDescent="0.2">
      <c r="A71" s="54"/>
      <c r="B71" s="38"/>
      <c r="C71" s="38"/>
      <c r="D71" s="38"/>
    </row>
    <row r="72" spans="1:4" s="20" customFormat="1" ht="18" customHeight="1" x14ac:dyDescent="0.2">
      <c r="A72" s="39"/>
      <c r="B72" s="39"/>
      <c r="C72" s="39"/>
      <c r="D72" s="39"/>
    </row>
    <row r="73" spans="1:4" s="20" customFormat="1" ht="18" customHeight="1" x14ac:dyDescent="0.2"/>
    <row r="74" spans="1:4" s="20" customFormat="1" ht="18" customHeight="1" x14ac:dyDescent="0.2">
      <c r="A74" s="40"/>
    </row>
    <row r="75" spans="1:4" s="20" customFormat="1" ht="18" customHeight="1" x14ac:dyDescent="0.2">
      <c r="A75" s="40"/>
    </row>
    <row r="76" spans="1:4" s="20" customFormat="1" ht="18" customHeight="1" x14ac:dyDescent="0.2">
      <c r="A76" s="40"/>
    </row>
    <row r="77" spans="1:4" s="20" customFormat="1" ht="18" customHeight="1" x14ac:dyDescent="0.2">
      <c r="A77" s="40"/>
    </row>
    <row r="78" spans="1:4" s="20" customFormat="1" x14ac:dyDescent="0.2">
      <c r="A78" s="40"/>
    </row>
    <row r="79" spans="1:4" s="20" customFormat="1" ht="18" customHeight="1" x14ac:dyDescent="0.2">
      <c r="A79" s="40"/>
    </row>
    <row r="80" spans="1:4" s="20" customFormat="1" x14ac:dyDescent="0.2">
      <c r="A80" s="40"/>
    </row>
    <row r="81" spans="1:4" s="20" customFormat="1" x14ac:dyDescent="0.2">
      <c r="A81" s="40"/>
    </row>
    <row r="82" spans="1:4" s="20" customFormat="1" x14ac:dyDescent="0.2">
      <c r="A82" s="40"/>
    </row>
    <row r="83" spans="1:4" s="20" customFormat="1" x14ac:dyDescent="0.2">
      <c r="A83" s="40"/>
    </row>
    <row r="84" spans="1:4" s="20" customFormat="1" x14ac:dyDescent="0.2"/>
    <row r="85" spans="1:4" s="20" customFormat="1" x14ac:dyDescent="0.2">
      <c r="A85" s="21"/>
      <c r="B85" s="21"/>
      <c r="C85" s="21"/>
      <c r="D85" s="21"/>
    </row>
    <row r="86" spans="1:4" s="20" customFormat="1" x14ac:dyDescent="0.2"/>
    <row r="87" spans="1:4" s="20" customFormat="1" x14ac:dyDescent="0.2"/>
    <row r="88" spans="1:4" s="20" customFormat="1" x14ac:dyDescent="0.2"/>
    <row r="89" spans="1:4" s="20" customFormat="1" x14ac:dyDescent="0.2">
      <c r="A89" s="41"/>
    </row>
    <row r="90" spans="1:4" s="20" customFormat="1" x14ac:dyDescent="0.2">
      <c r="A90" s="36"/>
    </row>
    <row r="91" spans="1:4" s="20" customFormat="1" x14ac:dyDescent="0.2"/>
    <row r="92" spans="1:4" s="20" customFormat="1" x14ac:dyDescent="0.2"/>
    <row r="93" spans="1:4" s="20" customFormat="1" x14ac:dyDescent="0.2"/>
    <row r="94" spans="1:4" s="20" customFormat="1" x14ac:dyDescent="0.2"/>
    <row r="95" spans="1:4" s="20" customFormat="1" x14ac:dyDescent="0.2"/>
    <row r="96" spans="1:4" s="20" customFormat="1" x14ac:dyDescent="0.2"/>
    <row r="97" spans="1:4" s="20" customFormat="1" x14ac:dyDescent="0.2"/>
    <row r="98" spans="1:4" s="20" customFormat="1" x14ac:dyDescent="0.2">
      <c r="A98" s="35"/>
      <c r="B98" s="35"/>
      <c r="C98" s="35"/>
      <c r="D98" s="35"/>
    </row>
    <row r="99" spans="1:4" s="20" customFormat="1" x14ac:dyDescent="0.2">
      <c r="A99" s="35"/>
      <c r="B99" s="35"/>
      <c r="C99" s="35"/>
      <c r="D99" s="35"/>
    </row>
    <row r="100" spans="1:4" s="20" customFormat="1" ht="15" customHeight="1" x14ac:dyDescent="0.2">
      <c r="A100" s="35"/>
      <c r="B100" s="35"/>
      <c r="C100" s="35"/>
      <c r="D100" s="35"/>
    </row>
    <row r="101" spans="1:4" s="20" customFormat="1" ht="58.5" customHeight="1" x14ac:dyDescent="0.2">
      <c r="A101" s="35"/>
      <c r="B101" s="35"/>
      <c r="C101" s="35"/>
      <c r="D101" s="35"/>
    </row>
    <row r="102" spans="1:4" s="20" customFormat="1" x14ac:dyDescent="0.2">
      <c r="A102" s="35"/>
      <c r="B102" s="36"/>
      <c r="C102" s="36"/>
      <c r="D102" s="36"/>
    </row>
    <row r="103" spans="1:4" s="20" customFormat="1" x14ac:dyDescent="0.2"/>
    <row r="104" spans="1:4" s="20" customFormat="1" ht="18" customHeight="1" x14ac:dyDescent="0.2">
      <c r="A104" s="54"/>
      <c r="B104" s="37"/>
      <c r="C104" s="37"/>
      <c r="D104" s="37"/>
    </row>
    <row r="105" spans="1:4" s="20" customFormat="1" ht="18" customHeight="1" x14ac:dyDescent="0.2">
      <c r="A105" s="54"/>
      <c r="B105" s="37"/>
      <c r="C105" s="37"/>
      <c r="D105" s="37"/>
    </row>
    <row r="106" spans="1:4" s="20" customFormat="1" ht="18" customHeight="1" x14ac:dyDescent="0.2">
      <c r="A106" s="54"/>
      <c r="B106" s="38"/>
      <c r="C106" s="38"/>
      <c r="D106" s="38"/>
    </row>
    <row r="107" spans="1:4" s="20" customFormat="1" ht="18" customHeight="1" x14ac:dyDescent="0.2">
      <c r="A107" s="39"/>
      <c r="B107" s="39"/>
      <c r="C107" s="39"/>
      <c r="D107" s="39"/>
    </row>
    <row r="108" spans="1:4" s="20" customFormat="1" ht="18" customHeight="1" x14ac:dyDescent="0.2"/>
    <row r="109" spans="1:4" s="20" customFormat="1" ht="18" customHeight="1" x14ac:dyDescent="0.2"/>
    <row r="110" spans="1:4" s="20" customFormat="1" ht="18" customHeight="1" x14ac:dyDescent="0.2"/>
    <row r="111" spans="1:4" s="20" customFormat="1" ht="18" customHeight="1" x14ac:dyDescent="0.2"/>
    <row r="112" spans="1:4" s="20" customFormat="1" x14ac:dyDescent="0.2"/>
    <row r="113" spans="1:4" s="20" customFormat="1" ht="18" customHeight="1" x14ac:dyDescent="0.2"/>
    <row r="114" spans="1:4" s="20" customFormat="1" x14ac:dyDescent="0.2">
      <c r="A114" s="40"/>
    </row>
    <row r="115" spans="1:4" s="20" customFormat="1" x14ac:dyDescent="0.2">
      <c r="A115" s="40"/>
    </row>
    <row r="116" spans="1:4" s="20" customFormat="1" x14ac:dyDescent="0.2">
      <c r="A116" s="40"/>
    </row>
    <row r="117" spans="1:4" s="20" customFormat="1" x14ac:dyDescent="0.2">
      <c r="A117" s="40"/>
    </row>
    <row r="118" spans="1:4" s="20" customFormat="1" x14ac:dyDescent="0.2"/>
    <row r="119" spans="1:4" s="20" customFormat="1" x14ac:dyDescent="0.2">
      <c r="A119" s="21"/>
      <c r="B119" s="21"/>
      <c r="C119" s="21"/>
      <c r="D119" s="21"/>
    </row>
    <row r="120" spans="1:4" s="20" customFormat="1" x14ac:dyDescent="0.2"/>
    <row r="121" spans="1:4" s="20" customFormat="1" x14ac:dyDescent="0.2"/>
    <row r="122" spans="1:4" s="20" customFormat="1" x14ac:dyDescent="0.2"/>
    <row r="123" spans="1:4" s="20" customFormat="1" x14ac:dyDescent="0.2">
      <c r="A123" s="41"/>
    </row>
    <row r="124" spans="1:4" s="20" customFormat="1" x14ac:dyDescent="0.2">
      <c r="A124" s="36"/>
    </row>
    <row r="125" spans="1:4" s="20" customFormat="1" x14ac:dyDescent="0.2"/>
    <row r="126" spans="1:4" s="20" customFormat="1" x14ac:dyDescent="0.2"/>
    <row r="127" spans="1:4" s="20" customFormat="1" x14ac:dyDescent="0.2"/>
    <row r="128" spans="1:4" s="20" customFormat="1" x14ac:dyDescent="0.2"/>
    <row r="129" spans="1:4" s="20" customFormat="1" x14ac:dyDescent="0.2"/>
    <row r="130" spans="1:4" s="20" customFormat="1" x14ac:dyDescent="0.2"/>
    <row r="131" spans="1:4" s="20" customFormat="1" x14ac:dyDescent="0.2"/>
    <row r="132" spans="1:4" s="20" customFormat="1" x14ac:dyDescent="0.2"/>
    <row r="133" spans="1:4" s="20" customFormat="1" x14ac:dyDescent="0.2"/>
    <row r="134" spans="1:4" s="20" customFormat="1" x14ac:dyDescent="0.2"/>
    <row r="135" spans="1:4" s="20" customFormat="1" x14ac:dyDescent="0.2"/>
    <row r="136" spans="1:4" s="20" customFormat="1" x14ac:dyDescent="0.2"/>
    <row r="137" spans="1:4" s="20" customFormat="1" x14ac:dyDescent="0.2">
      <c r="A137" s="35"/>
      <c r="B137" s="35"/>
      <c r="C137" s="35"/>
      <c r="D137" s="35"/>
    </row>
    <row r="138" spans="1:4" s="20" customFormat="1" x14ac:dyDescent="0.2">
      <c r="A138" s="35"/>
      <c r="B138" s="35"/>
      <c r="C138" s="35"/>
      <c r="D138" s="35"/>
    </row>
    <row r="139" spans="1:4" s="20" customFormat="1" ht="15" customHeight="1" x14ac:dyDescent="0.2">
      <c r="A139" s="56"/>
      <c r="B139" s="56"/>
      <c r="C139" s="56"/>
      <c r="D139" s="56"/>
    </row>
    <row r="140" spans="1:4" s="20" customFormat="1" ht="15" customHeight="1" x14ac:dyDescent="0.2">
      <c r="A140" s="56"/>
      <c r="B140" s="56"/>
      <c r="C140" s="56"/>
      <c r="D140" s="56"/>
    </row>
    <row r="141" spans="1:4" s="20" customFormat="1" x14ac:dyDescent="0.2">
      <c r="A141" s="35"/>
      <c r="B141" s="36"/>
      <c r="C141" s="36"/>
      <c r="D141" s="36"/>
    </row>
    <row r="142" spans="1:4" s="20" customFormat="1" ht="20.100000000000001" customHeight="1" x14ac:dyDescent="0.2"/>
    <row r="143" spans="1:4" s="20" customFormat="1" ht="20.100000000000001" customHeight="1" x14ac:dyDescent="0.2">
      <c r="A143" s="54"/>
      <c r="B143" s="37"/>
      <c r="C143" s="37"/>
      <c r="D143" s="37"/>
    </row>
    <row r="144" spans="1:4" s="20" customFormat="1" ht="20.100000000000001" customHeight="1" x14ac:dyDescent="0.2">
      <c r="A144" s="54"/>
      <c r="B144" s="37"/>
      <c r="C144" s="37"/>
      <c r="D144" s="37"/>
    </row>
    <row r="145" spans="1:4" s="20" customFormat="1" ht="20.100000000000001" customHeight="1" x14ac:dyDescent="0.2">
      <c r="A145" s="54"/>
      <c r="B145" s="38"/>
      <c r="C145" s="38"/>
      <c r="D145" s="38"/>
    </row>
    <row r="146" spans="1:4" s="20" customFormat="1" ht="20.100000000000001" customHeight="1" x14ac:dyDescent="0.2">
      <c r="A146" s="39"/>
      <c r="B146" s="39"/>
      <c r="C146" s="39"/>
      <c r="D146" s="39"/>
    </row>
    <row r="147" spans="1:4" s="20" customFormat="1" ht="20.100000000000001" customHeight="1" x14ac:dyDescent="0.2"/>
    <row r="148" spans="1:4" s="20" customFormat="1" ht="20.100000000000001" customHeight="1" x14ac:dyDescent="0.2"/>
    <row r="149" spans="1:4" s="20" customFormat="1" ht="20.100000000000001" customHeight="1" x14ac:dyDescent="0.2"/>
    <row r="150" spans="1:4" s="20" customFormat="1" ht="20.100000000000001" customHeight="1" x14ac:dyDescent="0.2"/>
    <row r="151" spans="1:4" s="20" customFormat="1" ht="20.100000000000001" customHeight="1" x14ac:dyDescent="0.2"/>
    <row r="152" spans="1:4" s="20" customFormat="1" ht="20.100000000000001" customHeight="1" x14ac:dyDescent="0.2"/>
    <row r="153" spans="1:4" s="20" customFormat="1" x14ac:dyDescent="0.2">
      <c r="A153" s="40"/>
    </row>
    <row r="154" spans="1:4" s="20" customFormat="1" x14ac:dyDescent="0.2">
      <c r="A154" s="40"/>
    </row>
    <row r="155" spans="1:4" s="20" customFormat="1" x14ac:dyDescent="0.2"/>
    <row r="156" spans="1:4" s="20" customFormat="1" x14ac:dyDescent="0.2">
      <c r="A156" s="21"/>
      <c r="B156" s="21"/>
      <c r="C156" s="21"/>
      <c r="D156" s="21"/>
    </row>
    <row r="157" spans="1:4" s="20" customFormat="1" x14ac:dyDescent="0.2">
      <c r="A157" s="21"/>
      <c r="B157" s="21"/>
      <c r="C157" s="21"/>
      <c r="D157" s="21"/>
    </row>
    <row r="158" spans="1:4" s="20" customFormat="1" x14ac:dyDescent="0.2"/>
    <row r="159" spans="1:4" s="20" customFormat="1" x14ac:dyDescent="0.2"/>
    <row r="160" spans="1:4" s="20" customFormat="1" x14ac:dyDescent="0.2"/>
    <row r="161" spans="1:4" s="20" customFormat="1" x14ac:dyDescent="0.2"/>
    <row r="162" spans="1:4" s="20" customFormat="1" x14ac:dyDescent="0.2">
      <c r="A162" s="41"/>
    </row>
    <row r="163" spans="1:4" s="20" customFormat="1" x14ac:dyDescent="0.2">
      <c r="A163" s="36"/>
    </row>
    <row r="164" spans="1:4" s="20" customFormat="1" x14ac:dyDescent="0.2"/>
    <row r="165" spans="1:4" s="20" customFormat="1" x14ac:dyDescent="0.2"/>
    <row r="166" spans="1:4" s="20" customFormat="1" x14ac:dyDescent="0.2"/>
    <row r="167" spans="1:4" s="20" customFormat="1" x14ac:dyDescent="0.2"/>
    <row r="168" spans="1:4" s="20" customFormat="1" x14ac:dyDescent="0.2">
      <c r="A168" s="21"/>
      <c r="B168" s="21"/>
      <c r="C168" s="21"/>
      <c r="D168" s="21"/>
    </row>
    <row r="169" spans="1:4" s="20" customFormat="1" x14ac:dyDescent="0.2">
      <c r="A169" s="35"/>
      <c r="B169" s="35"/>
      <c r="C169" s="35"/>
      <c r="D169" s="35"/>
    </row>
    <row r="170" spans="1:4" s="20" customFormat="1" x14ac:dyDescent="0.2">
      <c r="A170" s="35"/>
      <c r="B170" s="35"/>
      <c r="C170" s="35"/>
      <c r="D170" s="35"/>
    </row>
    <row r="171" spans="1:4" s="20" customFormat="1" ht="15" customHeight="1" x14ac:dyDescent="0.2">
      <c r="A171" s="56"/>
      <c r="B171" s="56"/>
      <c r="C171" s="56"/>
      <c r="D171" s="56"/>
    </row>
    <row r="172" spans="1:4" s="20" customFormat="1" ht="15" customHeight="1" x14ac:dyDescent="0.2">
      <c r="A172" s="56"/>
      <c r="B172" s="56"/>
      <c r="C172" s="56"/>
      <c r="D172" s="56"/>
    </row>
    <row r="173" spans="1:4" s="20" customFormat="1" x14ac:dyDescent="0.2">
      <c r="A173" s="35"/>
      <c r="B173" s="36"/>
      <c r="C173" s="36"/>
      <c r="D173" s="36"/>
    </row>
    <row r="174" spans="1:4" s="20" customFormat="1" ht="20.100000000000001" customHeight="1" x14ac:dyDescent="0.2"/>
    <row r="175" spans="1:4" s="20" customFormat="1" ht="20.100000000000001" customHeight="1" x14ac:dyDescent="0.2">
      <c r="A175" s="54"/>
      <c r="B175" s="37"/>
      <c r="C175" s="37"/>
      <c r="D175" s="37"/>
    </row>
    <row r="176" spans="1:4" s="20" customFormat="1" ht="20.100000000000001" customHeight="1" x14ac:dyDescent="0.2">
      <c r="A176" s="54"/>
      <c r="B176" s="37"/>
      <c r="C176" s="37"/>
      <c r="D176" s="37"/>
    </row>
    <row r="177" spans="1:4" s="20" customFormat="1" ht="20.100000000000001" customHeight="1" x14ac:dyDescent="0.2">
      <c r="A177" s="54"/>
      <c r="B177" s="38"/>
      <c r="C177" s="38"/>
      <c r="D177" s="38"/>
    </row>
    <row r="178" spans="1:4" s="20" customFormat="1" ht="20.100000000000001" customHeight="1" x14ac:dyDescent="0.2">
      <c r="A178" s="39"/>
      <c r="B178" s="39"/>
      <c r="C178" s="39"/>
      <c r="D178" s="39"/>
    </row>
    <row r="179" spans="1:4" s="20" customFormat="1" ht="20.100000000000001" customHeight="1" x14ac:dyDescent="0.2"/>
    <row r="180" spans="1:4" s="20" customFormat="1" ht="20.100000000000001" customHeight="1" x14ac:dyDescent="0.2"/>
    <row r="181" spans="1:4" s="20" customFormat="1" ht="20.100000000000001" customHeight="1" x14ac:dyDescent="0.2"/>
    <row r="182" spans="1:4" s="20" customFormat="1" ht="20.100000000000001" customHeight="1" x14ac:dyDescent="0.2"/>
    <row r="183" spans="1:4" s="20" customFormat="1" ht="20.100000000000001" customHeight="1" x14ac:dyDescent="0.2"/>
    <row r="184" spans="1:4" s="20" customFormat="1" ht="20.100000000000001" customHeight="1" x14ac:dyDescent="0.2">
      <c r="A184" s="42"/>
    </row>
    <row r="185" spans="1:4" s="20" customFormat="1" ht="20.100000000000001" customHeight="1" x14ac:dyDescent="0.2">
      <c r="A185" s="42"/>
    </row>
    <row r="186" spans="1:4" s="20" customFormat="1" ht="20.100000000000001" customHeight="1" x14ac:dyDescent="0.2"/>
    <row r="187" spans="1:4" s="20" customFormat="1" ht="20.100000000000001" customHeight="1" x14ac:dyDescent="0.2"/>
    <row r="188" spans="1:4" s="20" customFormat="1" ht="29.25" customHeight="1" x14ac:dyDescent="0.2"/>
    <row r="189" spans="1:4" s="20" customFormat="1" ht="20.100000000000001" customHeight="1" x14ac:dyDescent="0.2"/>
    <row r="190" spans="1:4" s="20" customFormat="1" x14ac:dyDescent="0.2">
      <c r="A190" s="43"/>
    </row>
    <row r="191" spans="1:4" s="20" customFormat="1" x14ac:dyDescent="0.2"/>
    <row r="192" spans="1:4" s="20" customFormat="1" x14ac:dyDescent="0.2">
      <c r="A192" s="21"/>
      <c r="B192" s="21"/>
      <c r="C192" s="21"/>
      <c r="D192" s="21"/>
    </row>
    <row r="193" spans="1:4" s="20" customFormat="1" x14ac:dyDescent="0.2">
      <c r="A193" s="55"/>
      <c r="B193" s="55"/>
      <c r="C193" s="55"/>
      <c r="D193" s="55"/>
    </row>
    <row r="194" spans="1:4" s="20" customFormat="1" x14ac:dyDescent="0.2">
      <c r="A194" s="44"/>
      <c r="B194" s="21"/>
      <c r="C194" s="21"/>
      <c r="D194" s="21"/>
    </row>
    <row r="195" spans="1:4" s="20" customFormat="1" x14ac:dyDescent="0.2"/>
    <row r="196" spans="1:4" s="20" customFormat="1" x14ac:dyDescent="0.2"/>
    <row r="197" spans="1:4" s="20" customFormat="1" x14ac:dyDescent="0.2"/>
    <row r="198" spans="1:4" s="20" customFormat="1" x14ac:dyDescent="0.2"/>
    <row r="199" spans="1:4" s="20" customFormat="1" x14ac:dyDescent="0.2">
      <c r="A199" s="41"/>
    </row>
    <row r="200" spans="1:4" s="20" customFormat="1" x14ac:dyDescent="0.2">
      <c r="A200" s="36"/>
    </row>
    <row r="201" spans="1:4" s="20" customFormat="1" x14ac:dyDescent="0.2"/>
    <row r="202" spans="1:4" s="20" customFormat="1" x14ac:dyDescent="0.2"/>
    <row r="203" spans="1:4" s="20" customFormat="1" x14ac:dyDescent="0.2">
      <c r="A203" s="35"/>
      <c r="B203" s="35"/>
      <c r="C203" s="35"/>
      <c r="D203" s="35"/>
    </row>
    <row r="204" spans="1:4" s="20" customFormat="1" x14ac:dyDescent="0.2">
      <c r="A204" s="35"/>
      <c r="B204" s="35"/>
      <c r="C204" s="35"/>
      <c r="D204" s="35"/>
    </row>
    <row r="205" spans="1:4" s="20" customFormat="1" ht="15" customHeight="1" x14ac:dyDescent="0.2">
      <c r="A205" s="56"/>
      <c r="B205" s="56"/>
      <c r="C205" s="56"/>
      <c r="D205" s="56"/>
    </row>
    <row r="206" spans="1:4" s="20" customFormat="1" ht="15" customHeight="1" x14ac:dyDescent="0.2">
      <c r="A206" s="56"/>
      <c r="B206" s="56"/>
      <c r="C206" s="56"/>
      <c r="D206" s="56"/>
    </row>
    <row r="207" spans="1:4" s="20" customFormat="1" x14ac:dyDescent="0.2">
      <c r="A207" s="35"/>
      <c r="B207" s="36"/>
      <c r="C207" s="36"/>
      <c r="D207" s="36"/>
    </row>
    <row r="208" spans="1:4" s="20" customFormat="1" ht="20.100000000000001" customHeight="1" x14ac:dyDescent="0.2"/>
    <row r="209" spans="1:4" s="20" customFormat="1" ht="20.100000000000001" customHeight="1" x14ac:dyDescent="0.2">
      <c r="A209" s="54"/>
      <c r="B209" s="37"/>
      <c r="C209" s="37"/>
      <c r="D209" s="37"/>
    </row>
    <row r="210" spans="1:4" s="20" customFormat="1" ht="20.100000000000001" customHeight="1" x14ac:dyDescent="0.2">
      <c r="A210" s="54"/>
      <c r="B210" s="37"/>
      <c r="C210" s="37"/>
      <c r="D210" s="37"/>
    </row>
    <row r="211" spans="1:4" s="20" customFormat="1" ht="20.100000000000001" customHeight="1" x14ac:dyDescent="0.2">
      <c r="A211" s="54"/>
      <c r="B211" s="38"/>
      <c r="C211" s="38"/>
      <c r="D211" s="38"/>
    </row>
    <row r="212" spans="1:4" s="20" customFormat="1" ht="20.100000000000001" customHeight="1" x14ac:dyDescent="0.2">
      <c r="A212" s="39"/>
      <c r="B212" s="39"/>
      <c r="C212" s="39"/>
      <c r="D212" s="39"/>
    </row>
    <row r="213" spans="1:4" s="20" customFormat="1" ht="20.100000000000001" customHeight="1" x14ac:dyDescent="0.2"/>
    <row r="214" spans="1:4" s="20" customFormat="1" ht="20.100000000000001" customHeight="1" x14ac:dyDescent="0.2">
      <c r="A214" s="42"/>
    </row>
    <row r="215" spans="1:4" s="20" customFormat="1" ht="20.100000000000001" customHeight="1" x14ac:dyDescent="0.2"/>
    <row r="216" spans="1:4" s="20" customFormat="1" ht="20.100000000000001" customHeight="1" x14ac:dyDescent="0.2"/>
    <row r="217" spans="1:4" s="20" customFormat="1" ht="20.100000000000001" customHeight="1" x14ac:dyDescent="0.2"/>
    <row r="218" spans="1:4" s="20" customFormat="1" ht="20.100000000000001" customHeight="1" x14ac:dyDescent="0.2">
      <c r="A218" s="42"/>
    </row>
    <row r="219" spans="1:4" s="20" customFormat="1" ht="20.100000000000001" customHeight="1" x14ac:dyDescent="0.2">
      <c r="A219" s="42"/>
    </row>
    <row r="220" spans="1:4" s="20" customFormat="1" ht="28.5" customHeight="1" x14ac:dyDescent="0.2"/>
    <row r="221" spans="1:4" s="20" customFormat="1" ht="10.5" customHeight="1" x14ac:dyDescent="0.2"/>
    <row r="222" spans="1:4" s="20" customFormat="1" x14ac:dyDescent="0.2">
      <c r="A222" s="43"/>
    </row>
    <row r="223" spans="1:4" s="20" customFormat="1" x14ac:dyDescent="0.2"/>
    <row r="224" spans="1:4" s="20" customFormat="1" x14ac:dyDescent="0.2">
      <c r="A224" s="21"/>
      <c r="B224" s="21"/>
      <c r="C224" s="21"/>
      <c r="D224" s="21"/>
    </row>
    <row r="225" spans="1:4" s="20" customFormat="1" x14ac:dyDescent="0.2">
      <c r="A225" s="55"/>
      <c r="B225" s="55"/>
      <c r="C225" s="55"/>
      <c r="D225" s="55"/>
    </row>
    <row r="226" spans="1:4" s="20" customFormat="1" x14ac:dyDescent="0.2">
      <c r="A226" s="44"/>
      <c r="B226" s="21"/>
      <c r="C226" s="21"/>
      <c r="D226" s="21"/>
    </row>
    <row r="227" spans="1:4" s="20" customFormat="1" x14ac:dyDescent="0.2"/>
    <row r="228" spans="1:4" s="20" customFormat="1" x14ac:dyDescent="0.2"/>
    <row r="229" spans="1:4" s="20" customFormat="1" x14ac:dyDescent="0.2"/>
    <row r="230" spans="1:4" s="20" customFormat="1" x14ac:dyDescent="0.2"/>
    <row r="231" spans="1:4" s="20" customFormat="1" x14ac:dyDescent="0.2">
      <c r="A231" s="41"/>
    </row>
    <row r="232" spans="1:4" s="20" customFormat="1" x14ac:dyDescent="0.2">
      <c r="A232" s="36"/>
    </row>
    <row r="233" spans="1:4" s="20" customFormat="1" x14ac:dyDescent="0.2"/>
    <row r="234" spans="1:4" s="20" customFormat="1" x14ac:dyDescent="0.2"/>
    <row r="235" spans="1:4" s="20" customFormat="1" x14ac:dyDescent="0.2"/>
    <row r="236" spans="1:4" s="20" customFormat="1" x14ac:dyDescent="0.2"/>
    <row r="237" spans="1:4" s="20" customFormat="1" x14ac:dyDescent="0.2"/>
    <row r="238" spans="1:4" s="20" customFormat="1" x14ac:dyDescent="0.2"/>
    <row r="239" spans="1:4" s="20" customFormat="1" x14ac:dyDescent="0.2"/>
    <row r="240" spans="1:4" s="20" customFormat="1" x14ac:dyDescent="0.2"/>
    <row r="241" s="20" customFormat="1" x14ac:dyDescent="0.2"/>
    <row r="242" s="20" customFormat="1" x14ac:dyDescent="0.2"/>
    <row r="243" s="20" customFormat="1" x14ac:dyDescent="0.2"/>
    <row r="244" s="20" customFormat="1" x14ac:dyDescent="0.2"/>
    <row r="245" s="20" customFormat="1" x14ac:dyDescent="0.2"/>
    <row r="246" s="20" customFormat="1" x14ac:dyDescent="0.2"/>
    <row r="247" s="20" customFormat="1" x14ac:dyDescent="0.2"/>
    <row r="248" s="20" customFormat="1" x14ac:dyDescent="0.2"/>
    <row r="249" s="20" customFormat="1" x14ac:dyDescent="0.2"/>
    <row r="250" s="20" customFormat="1" x14ac:dyDescent="0.2"/>
    <row r="251" s="20" customFormat="1" x14ac:dyDescent="0.2"/>
    <row r="252" s="20" customFormat="1" x14ac:dyDescent="0.2"/>
    <row r="253" s="20" customFormat="1" x14ac:dyDescent="0.2"/>
    <row r="254" s="20" customFormat="1" x14ac:dyDescent="0.2"/>
    <row r="255" s="20" customFormat="1" x14ac:dyDescent="0.2"/>
    <row r="256" s="20" customFormat="1" x14ac:dyDescent="0.2"/>
    <row r="257" s="20" customFormat="1" x14ac:dyDescent="0.2"/>
    <row r="258" s="20" customFormat="1" x14ac:dyDescent="0.2"/>
    <row r="259" s="20" customFormat="1" x14ac:dyDescent="0.2"/>
    <row r="260" s="20" customFormat="1" x14ac:dyDescent="0.2"/>
    <row r="261" s="20" customFormat="1" x14ac:dyDescent="0.2"/>
    <row r="262" s="20" customFormat="1" x14ac:dyDescent="0.2"/>
    <row r="263" s="20" customFormat="1" x14ac:dyDescent="0.2"/>
    <row r="264" s="20" customFormat="1" x14ac:dyDescent="0.2"/>
    <row r="265" s="20" customFormat="1" x14ac:dyDescent="0.2"/>
    <row r="266" s="20" customFormat="1" x14ac:dyDescent="0.2"/>
    <row r="267" s="20" customFormat="1" x14ac:dyDescent="0.2"/>
    <row r="268" s="20" customFormat="1" x14ac:dyDescent="0.2"/>
    <row r="269" s="20" customFormat="1" x14ac:dyDescent="0.2"/>
    <row r="270" s="20" customFormat="1" x14ac:dyDescent="0.2"/>
    <row r="271" s="20" customFormat="1" x14ac:dyDescent="0.2"/>
    <row r="272" s="20" customFormat="1" x14ac:dyDescent="0.2"/>
    <row r="273" s="20" customFormat="1" x14ac:dyDescent="0.2"/>
    <row r="274" s="20" customFormat="1" x14ac:dyDescent="0.2"/>
    <row r="275" s="20" customFormat="1" x14ac:dyDescent="0.2"/>
    <row r="276" s="20" customFormat="1" x14ac:dyDescent="0.2"/>
    <row r="277" s="20" customFormat="1" x14ac:dyDescent="0.2"/>
    <row r="278" s="20" customFormat="1" x14ac:dyDescent="0.2"/>
    <row r="279" s="20" customFormat="1" x14ac:dyDescent="0.2"/>
    <row r="280" s="20" customFormat="1" x14ac:dyDescent="0.2"/>
    <row r="281" s="20" customFormat="1" x14ac:dyDescent="0.2"/>
    <row r="282" s="20" customFormat="1" x14ac:dyDescent="0.2"/>
    <row r="283" s="20" customFormat="1" x14ac:dyDescent="0.2"/>
    <row r="284" s="20" customFormat="1" x14ac:dyDescent="0.2"/>
    <row r="285" s="20" customFormat="1" x14ac:dyDescent="0.2"/>
    <row r="286" s="20" customFormat="1" x14ac:dyDescent="0.2"/>
    <row r="287" s="20" customFormat="1" x14ac:dyDescent="0.2"/>
    <row r="288" s="20" customFormat="1" x14ac:dyDescent="0.2"/>
    <row r="289" s="20" customFormat="1" x14ac:dyDescent="0.2"/>
    <row r="290" s="20" customFormat="1" x14ac:dyDescent="0.2"/>
    <row r="291" s="20" customFormat="1" x14ac:dyDescent="0.2"/>
    <row r="292" s="20" customFormat="1" x14ac:dyDescent="0.2"/>
    <row r="293" s="20" customFormat="1" x14ac:dyDescent="0.2"/>
    <row r="294" s="20" customFormat="1" x14ac:dyDescent="0.2"/>
    <row r="295" s="20" customFormat="1" x14ac:dyDescent="0.2"/>
    <row r="296" s="20" customFormat="1" x14ac:dyDescent="0.2"/>
    <row r="297" s="20" customFormat="1" x14ac:dyDescent="0.2"/>
    <row r="298" s="20" customFormat="1" x14ac:dyDescent="0.2"/>
    <row r="299" s="20" customFormat="1" x14ac:dyDescent="0.2"/>
    <row r="300" s="20" customFormat="1" x14ac:dyDescent="0.2"/>
    <row r="301" s="20" customFormat="1" x14ac:dyDescent="0.2"/>
    <row r="302" s="20" customFormat="1" x14ac:dyDescent="0.2"/>
    <row r="303" s="20" customFormat="1" x14ac:dyDescent="0.2"/>
    <row r="304" s="20" customFormat="1" x14ac:dyDescent="0.2"/>
    <row r="305" s="20" customFormat="1" x14ac:dyDescent="0.2"/>
    <row r="306" s="20" customFormat="1" x14ac:dyDescent="0.2"/>
    <row r="307" s="20" customFormat="1" x14ac:dyDescent="0.2"/>
    <row r="308" s="20" customFormat="1" x14ac:dyDescent="0.2"/>
    <row r="309" s="20" customFormat="1" x14ac:dyDescent="0.2"/>
    <row r="310" s="20" customFormat="1" x14ac:dyDescent="0.2"/>
    <row r="311" s="20" customFormat="1" x14ac:dyDescent="0.2"/>
    <row r="312" s="20" customFormat="1" x14ac:dyDescent="0.2"/>
    <row r="313" s="20" customFormat="1" x14ac:dyDescent="0.2"/>
    <row r="314" s="20" customFormat="1" x14ac:dyDescent="0.2"/>
    <row r="315" s="20" customFormat="1" x14ac:dyDescent="0.2"/>
    <row r="316" s="20" customFormat="1" x14ac:dyDescent="0.2"/>
    <row r="317" s="20" customFormat="1" x14ac:dyDescent="0.2"/>
    <row r="318" s="20" customFormat="1" x14ac:dyDescent="0.2"/>
    <row r="319" s="20" customFormat="1" x14ac:dyDescent="0.2"/>
    <row r="320" s="20" customFormat="1" x14ac:dyDescent="0.2"/>
    <row r="321" s="20" customFormat="1" x14ac:dyDescent="0.2"/>
    <row r="322" s="20" customFormat="1" x14ac:dyDescent="0.2"/>
    <row r="323" s="20" customFormat="1" x14ac:dyDescent="0.2"/>
    <row r="324" s="20" customFormat="1" x14ac:dyDescent="0.2"/>
    <row r="325" s="20" customFormat="1" x14ac:dyDescent="0.2"/>
    <row r="326" s="20" customFormat="1" x14ac:dyDescent="0.2"/>
    <row r="327" s="20" customFormat="1" x14ac:dyDescent="0.2"/>
    <row r="328" s="20" customFormat="1" x14ac:dyDescent="0.2"/>
    <row r="329" s="20" customFormat="1" x14ac:dyDescent="0.2"/>
    <row r="330" s="20" customFormat="1" x14ac:dyDescent="0.2"/>
    <row r="331" s="20" customFormat="1" x14ac:dyDescent="0.2"/>
    <row r="332" s="20" customFormat="1" x14ac:dyDescent="0.2"/>
    <row r="333" s="20" customFormat="1" x14ac:dyDescent="0.2"/>
    <row r="334" s="20" customFormat="1" x14ac:dyDescent="0.2"/>
    <row r="335" s="20" customFormat="1" x14ac:dyDescent="0.2"/>
    <row r="336" s="20" customFormat="1" x14ac:dyDescent="0.2"/>
    <row r="337" spans="1:4" s="20" customFormat="1" x14ac:dyDescent="0.2"/>
    <row r="338" spans="1:4" s="20" customFormat="1" x14ac:dyDescent="0.2"/>
    <row r="339" spans="1:4" s="20" customFormat="1" x14ac:dyDescent="0.2"/>
    <row r="340" spans="1:4" s="20" customFormat="1" x14ac:dyDescent="0.2"/>
    <row r="341" spans="1:4" s="20" customFormat="1" x14ac:dyDescent="0.2"/>
    <row r="342" spans="1:4" s="20" customFormat="1" x14ac:dyDescent="0.2"/>
    <row r="343" spans="1:4" x14ac:dyDescent="0.2">
      <c r="A343" s="20"/>
      <c r="B343" s="20"/>
      <c r="C343" s="20"/>
      <c r="D343" s="20"/>
    </row>
    <row r="344" spans="1:4" x14ac:dyDescent="0.2">
      <c r="A344" s="20"/>
      <c r="B344" s="20"/>
      <c r="C344" s="20"/>
      <c r="D344" s="20"/>
    </row>
    <row r="345" spans="1:4" x14ac:dyDescent="0.2">
      <c r="A345" s="20"/>
      <c r="B345" s="20"/>
      <c r="C345" s="20"/>
      <c r="D345" s="20"/>
    </row>
    <row r="346" spans="1:4" x14ac:dyDescent="0.2">
      <c r="A346" s="20"/>
      <c r="B346" s="20"/>
      <c r="C346" s="20"/>
      <c r="D346" s="20"/>
    </row>
    <row r="347" spans="1:4" x14ac:dyDescent="0.2">
      <c r="A347" s="20"/>
      <c r="B347" s="20"/>
      <c r="C347" s="20"/>
      <c r="D347" s="20"/>
    </row>
  </sheetData>
  <mergeCells count="65">
    <mergeCell ref="A104:A106"/>
    <mergeCell ref="A171:D171"/>
    <mergeCell ref="A172:D172"/>
    <mergeCell ref="A175:A177"/>
    <mergeCell ref="A139:D139"/>
    <mergeCell ref="A140:D140"/>
    <mergeCell ref="A143:A145"/>
    <mergeCell ref="A225:D225"/>
    <mergeCell ref="A205:D205"/>
    <mergeCell ref="A206:D206"/>
    <mergeCell ref="A209:A211"/>
    <mergeCell ref="A193:D193"/>
    <mergeCell ref="A69:A71"/>
    <mergeCell ref="A35:A37"/>
    <mergeCell ref="N2:P2"/>
    <mergeCell ref="Q2:S2"/>
    <mergeCell ref="T2:V2"/>
    <mergeCell ref="T10:T11"/>
    <mergeCell ref="U10:U11"/>
    <mergeCell ref="V10:V11"/>
    <mergeCell ref="B2:D2"/>
    <mergeCell ref="E2:G2"/>
    <mergeCell ref="H2:J2"/>
    <mergeCell ref="K2:M2"/>
    <mergeCell ref="W2:Y2"/>
    <mergeCell ref="Z2:AB2"/>
    <mergeCell ref="AC2:AE2"/>
    <mergeCell ref="AF2:AH2"/>
    <mergeCell ref="AI2:AK2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</mergeCells>
  <pageMargins left="0.05" right="0.05" top="0.75" bottom="0.75" header="0.3" footer="0.3"/>
  <pageSetup paperSize="14" scale="8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harvesting calamba conso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AGRI-PC-001</dc:creator>
  <cp:lastModifiedBy>AGRI-PC-001</cp:lastModifiedBy>
  <dcterms:created xsi:type="dcterms:W3CDTF">2026-09-23T08:57:34Z</dcterms:created>
  <dcterms:modified xsi:type="dcterms:W3CDTF">2026-10-01T04:15:09Z</dcterms:modified>
</cp:coreProperties>
</file>